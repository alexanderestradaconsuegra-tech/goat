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a" sheetId="1" state="visible" r:id="rId3"/>
    <sheet name="Parametros" sheetId="2" state="visible" r:id="rId4"/>
    <sheet name="Cronograma" sheetId="3" state="visible" r:id="rId5"/>
    <sheet name="Canchas" sheetId="4" state="visible" r:id="rId6"/>
    <sheet name="Gastos" sheetId="5" state="visible" r:id="rId7"/>
    <sheet name="Ingresos" sheetId="6" state="visible" r:id="rId8"/>
    <sheet name="Cotizaciones" sheetId="7" state="visible" r:id="rId9"/>
    <sheet name="Checklist" sheetId="8" state="visible" r:id="rId10"/>
  </sheets>
  <definedNames>
    <definedName function="false" hidden="false" localSheetId="7" name="_xlnm.Print_Titles" vbProcedure="false">Checklist!$1:$3</definedName>
    <definedName function="false" hidden="false" localSheetId="6" name="_xlnm.Print_Titles" vbProcedure="false">Cotizaciones!$1:$3</definedName>
    <definedName function="false" hidden="false" localSheetId="2" name="_xlnm.Print_Titles" vbProcedure="false">Cronograma!$1:$2</definedName>
    <definedName function="false" hidden="false" localSheetId="4" name="_xlnm.Print_Titles" vbProcedure="false">Gastos!$1:$3</definedName>
    <definedName function="false" hidden="false" localSheetId="1" name="_xlnm.Print_Titles" vbProcedure="false">Parametros!$1:$2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<sst xmlns="http://schemas.openxmlformats.org/spreadsheetml/2006/main" count="529" uniqueCount="418">
  <si>
    <t xml:space="preserve">GOAT LEAGUE · Planificación del torneo</t>
  </si>
  <si>
    <t xml:space="preserve">Calculadora y documentos para organizar equipos, canchas, horarios, gastos e ingresos. Imprime las hojas que necesites.</t>
  </si>
  <si>
    <t xml:space="preserve">CÓMO USAR ESTE ARCHIVO</t>
  </si>
  <si>
    <t xml:space="preserve">1. Empieza por la hoja "Parametros": equipos por categoría, jugadores, tiempos de juego, jornada y canchas.</t>
  </si>
  <si>
    <t xml:space="preserve">2. "Cronograma" arma los bloques de horario de sábado y domingo; escribe ahí los cruces de cada cancha.</t>
  </si>
  <si>
    <t xml:space="preserve">3. "Canchas" calcula las horas de arriendo (incluye montaje, desmontaje y premiación). Solo pones la tarifa.</t>
  </si>
  <si>
    <t xml:space="preserve">4. "Gastos" tiene todos los ítems del torneo con la cantidad ya calculada. Solo completas los precios unitarios.</t>
  </si>
  <si>
    <t xml:space="preserve">5. "Ingresos" calcula utilidad, punto de equilibrio y cuota mínima por equipo. Tú defines la cuota.</t>
  </si>
  <si>
    <t xml:space="preserve">6. "Cotizaciones" y "Checklist" son para imprimir y llevar a terreno.</t>
  </si>
  <si>
    <t xml:space="preserve">Para la fecha del 5 y 6 de diciembre, guarda una copia del archivo y cambia las fechas y parámetros.</t>
  </si>
  <si>
    <t xml:space="preserve">LEYENDA DE COLORES</t>
  </si>
  <si>
    <t xml:space="preserve">Celda para completar</t>
  </si>
  <si>
    <t xml:space="preserve">Amarilla con letra azul: es un dato tuyo (precio, cantidad o supuesto que puedes cambiar).</t>
  </si>
  <si>
    <t xml:space="preserve">Fórmula (no tocar)</t>
  </si>
  <si>
    <t xml:space="preserve">Blanca con letra negra: se calcula sola.</t>
  </si>
  <si>
    <t xml:space="preserve">Viene de otra hoja</t>
  </si>
  <si>
    <t xml:space="preserve">Letra verde: trae un dato desde otra hoja.</t>
  </si>
  <si>
    <t xml:space="preserve">EJEMPLO DE CÓMO SE COMPLETA UNA FILA DE GASTOS (no se suma)</t>
  </si>
  <si>
    <t xml:space="preserve">Ítem</t>
  </si>
  <si>
    <t xml:space="preserve">Unidad</t>
  </si>
  <si>
    <t xml:space="preserve">Cantidad</t>
  </si>
  <si>
    <t xml:space="preserve">Precio unitario</t>
  </si>
  <si>
    <t xml:space="preserve">Total</t>
  </si>
  <si>
    <t xml:space="preserve">Nota</t>
  </si>
  <si>
    <t xml:space="preserve">Balones N°4 (ejemplo)</t>
  </si>
  <si>
    <t xml:space="preserve">unidad</t>
  </si>
  <si>
    <t xml:space="preserve">Cantidad y precio son de ejemplo: no son cotizaciones.</t>
  </si>
  <si>
    <t xml:space="preserve">FORMATO DEL TORNEO (según el sitio web)</t>
  </si>
  <si>
    <t xml:space="preserve">Modalidad</t>
  </si>
  <si>
    <t xml:space="preserve">Fútbol 7, categorías Sub 7, Sub 9, Sub 11, Sub 13 y Sub 15</t>
  </si>
  <si>
    <t xml:space="preserve">Tiempo de juego</t>
  </si>
  <si>
    <t xml:space="preserve">2 tiempos de 15 minutos</t>
  </si>
  <si>
    <t xml:space="preserve">Bloque por partido</t>
  </si>
  <si>
    <t xml:space="preserve">45 minutos (30 de juego + transición de cancha)</t>
  </si>
  <si>
    <t xml:space="preserve">Jornada</t>
  </si>
  <si>
    <t xml:space="preserve">Sábado: fase de grupos · Domingo: semifinales, finales y premiación, de 09:00 a 12:00</t>
  </si>
  <si>
    <t xml:space="preserve">Fechas</t>
  </si>
  <si>
    <t xml:space="preserve">1ª fecha: 7 y 8 de noviembre · Cierre de año: 5 y 6 de diciembre de 2026</t>
  </si>
  <si>
    <t xml:space="preserve">Premiación del sitio</t>
  </si>
  <si>
    <t xml:space="preserve">180 medallas y 30 trofeos: 5 categorías × 3 puestos × 12 jugadores, y 5 × (3 copas + 3 premios individuales)</t>
  </si>
  <si>
    <t xml:space="preserve">PARÁMETROS DEL TORNEO</t>
  </si>
  <si>
    <t xml:space="preserve">Completa las celdas amarillas. Todo lo demás (partidos, canchas, horarios y costos) se calcula solo. Los valores iniciales son un punto de partida: cámbialos.</t>
  </si>
  <si>
    <t xml:space="preserve">DATOS DEL TORNEO</t>
  </si>
  <si>
    <t xml:space="preserve">Nombre del torneo</t>
  </si>
  <si>
    <t xml:space="preserve">GOAT LEAGUE 2026 · Primera fecha</t>
  </si>
  <si>
    <t xml:space="preserve">Fecha del sábado</t>
  </si>
  <si>
    <t xml:space="preserve">Fecha del domingo</t>
  </si>
  <si>
    <t xml:space="preserve">Recinto / sede</t>
  </si>
  <si>
    <t xml:space="preserve">Cierre de inscripciones</t>
  </si>
  <si>
    <t xml:space="preserve">CATEGORÍAS Y EQUIPOS</t>
  </si>
  <si>
    <t xml:space="preserve">Categoría</t>
  </si>
  <si>
    <t xml:space="preserve">Equipos</t>
  </si>
  <si>
    <t xml:space="preserve">Grupos</t>
  </si>
  <si>
    <t xml:space="preserve">Equipos por grupo</t>
  </si>
  <si>
    <t xml:space="preserve">Jugadores por equipo</t>
  </si>
  <si>
    <t xml:space="preserve">Total jugadores</t>
  </si>
  <si>
    <t xml:space="preserve">Partidos sábado (grupos)</t>
  </si>
  <si>
    <t xml:space="preserve">Partidos domingo (fase final)</t>
  </si>
  <si>
    <t xml:space="preserve">Total partidos</t>
  </si>
  <si>
    <t xml:space="preserve">Reparto de grupos</t>
  </si>
  <si>
    <t xml:space="preserve">Sub 7</t>
  </si>
  <si>
    <t xml:space="preserve">Sub 9</t>
  </si>
  <si>
    <t xml:space="preserve">Sub 11</t>
  </si>
  <si>
    <t xml:space="preserve">Sub 13</t>
  </si>
  <si>
    <t xml:space="preserve">Sub 15</t>
  </si>
  <si>
    <t xml:space="preserve">TOTAL</t>
  </si>
  <si>
    <t xml:space="preserve">Grupos: todos juegan contra todos dentro de su grupo (sábado). Partidos del domingo = semifinales + final + tercer lugar que definas por categoría (ej.: 2 grupos → 4 partidos; 1 grupo de 4 → 2 partidos: final y tercer lugar).</t>
  </si>
  <si>
    <t xml:space="preserve">TIEMPOS DE JUEGO</t>
  </si>
  <si>
    <t xml:space="preserve">Duración de cada tiempo (min)</t>
  </si>
  <si>
    <t xml:space="preserve">Cantidad de tiempos</t>
  </si>
  <si>
    <t xml:space="preserve">Minutos de juego por partido</t>
  </si>
  <si>
    <t xml:space="preserve">Bloque total por partido (min)</t>
  </si>
  <si>
    <t xml:space="preserve">Incluye juego, entretiempo y transición de cancha.</t>
  </si>
  <si>
    <t xml:space="preserve">Minutos de descanso y transición por partido</t>
  </si>
  <si>
    <t xml:space="preserve">Si es negativo, el bloque es menor que el juego.</t>
  </si>
  <si>
    <t xml:space="preserve">JORNADA Y CANCHAS</t>
  </si>
  <si>
    <t xml:space="preserve">Hora de inicio de partidos</t>
  </si>
  <si>
    <t xml:space="preserve">Igual los dos días.</t>
  </si>
  <si>
    <t xml:space="preserve">Hora de término prevista de la jornada</t>
  </si>
  <si>
    <t xml:space="preserve">Según el sitio: 09:00 a 12:00.</t>
  </si>
  <si>
    <t xml:space="preserve">Horas de juego por día</t>
  </si>
  <si>
    <t xml:space="preserve">Bloques de partido por cancha por día</t>
  </si>
  <si>
    <t xml:space="preserve">Cuántos partidos caben en una cancha en la jornada.</t>
  </si>
  <si>
    <t xml:space="preserve">Canchas simultáneas que usarás</t>
  </si>
  <si>
    <t xml:space="preserve">Cambia este número y mira el estado de la jornada (B46).</t>
  </si>
  <si>
    <t xml:space="preserve">Partidos que caben el sábado</t>
  </si>
  <si>
    <t xml:space="preserve">Partidos que caben el domingo</t>
  </si>
  <si>
    <t xml:space="preserve">Partidos necesarios el sábado</t>
  </si>
  <si>
    <t xml:space="preserve">Partidos necesarios el domingo</t>
  </si>
  <si>
    <t xml:space="preserve">Canchas necesarias para cumplir la jornada (sábado)</t>
  </si>
  <si>
    <t xml:space="preserve">Con la jornada y el bloque definidos arriba.</t>
  </si>
  <si>
    <t xml:space="preserve">Canchas necesarias para cumplir la jornada (domingo)</t>
  </si>
  <si>
    <t xml:space="preserve">Bloques que necesitas por cancha (sábado)</t>
  </si>
  <si>
    <t xml:space="preserve">Con las canchas que elegiste.</t>
  </si>
  <si>
    <t xml:space="preserve">Bloques que necesitas por cancha (domingo)</t>
  </si>
  <si>
    <t xml:space="preserve">Hora de término de partidos del sábado</t>
  </si>
  <si>
    <t xml:space="preserve">Hora de término de partidos del domingo</t>
  </si>
  <si>
    <t xml:space="preserve">La premiación va después de esta hora.</t>
  </si>
  <si>
    <t xml:space="preserve">Horas de juego necesarias el sábado</t>
  </si>
  <si>
    <t xml:space="preserve">Horas de juego necesarias el domingo</t>
  </si>
  <si>
    <t xml:space="preserve">ESTADO DE LA JORNADA</t>
  </si>
  <si>
    <t xml:space="preserve">OTROS DATOS</t>
  </si>
  <si>
    <t xml:space="preserve">Premiación y cierre (min)</t>
  </si>
  <si>
    <t xml:space="preserve">Domingo, después del último partido.</t>
  </si>
  <si>
    <t xml:space="preserve">Montaje antes del primer partido (min)</t>
  </si>
  <si>
    <t xml:space="preserve">Se paga arriendo de cancha durante el montaje.</t>
  </si>
  <si>
    <t xml:space="preserve">Desmontaje después del último partido (min)</t>
  </si>
  <si>
    <t xml:space="preserve">Jugadores que reciben medalla por equipo</t>
  </si>
  <si>
    <t xml:space="preserve">El sitio anuncia 180 medallas = 5 cat. × 3 puestos × 12.</t>
  </si>
  <si>
    <t xml:space="preserve">Puestos premiados por categoría</t>
  </si>
  <si>
    <t xml:space="preserve">Premios individuales por categoría</t>
  </si>
  <si>
    <t xml:space="preserve">Botín de Oro, Guante de Oro y MVP.</t>
  </si>
  <si>
    <t xml:space="preserve">Días de competencia</t>
  </si>
  <si>
    <t xml:space="preserve">ALTERNATIVAS: ¿CUÁNTAS CANCHAS NECESITO?</t>
  </si>
  <si>
    <t xml:space="preserve">Canchas simultáneas</t>
  </si>
  <si>
    <t xml:space="preserve">Horas sábado</t>
  </si>
  <si>
    <t xml:space="preserve">Horas domingo</t>
  </si>
  <si>
    <t xml:space="preserve">Término sábado</t>
  </si>
  <si>
    <t xml:space="preserve">Término domingo</t>
  </si>
  <si>
    <t xml:space="preserve">Lee esta tabla así: con N canchas, los partidos del sábado duran X horas. Si X supera tu jornada (B30), necesitas más canchas o una jornada más larga.</t>
  </si>
  <si>
    <t xml:space="preserve">CRONOGRAMA DE PARTIDOS</t>
  </si>
  <si>
    <t xml:space="preserve">Los horarios salen de la hoja Parametros. Escribe en cada cancha el cruce (ej.: "Club A vs Club B · Sub 9"). Las canchas que no usas aparecen con "—".</t>
  </si>
  <si>
    <t xml:space="preserve">SÁBADO · FASE DE GRUPOS</t>
  </si>
  <si>
    <t xml:space="preserve">Bloque</t>
  </si>
  <si>
    <t xml:space="preserve">Inicio</t>
  </si>
  <si>
    <t xml:space="preserve">Fin</t>
  </si>
  <si>
    <t xml:space="preserve">Se usa</t>
  </si>
  <si>
    <t xml:space="preserve">Término de partidos:</t>
  </si>
  <si>
    <t xml:space="preserve">DOMINGO · SEMIFINALES, FINALES Y PREMIACIÓN</t>
  </si>
  <si>
    <t xml:space="preserve">Premiación y cierre:</t>
  </si>
  <si>
    <t xml:space="preserve">inicio → fin</t>
  </si>
  <si>
    <t xml:space="preserve">Regla sugerida: ningún equipo juega dos bloques seguidos y cada equipo descansa al menos un bloque entre partidos. Si el estado de la jornada en Parametros dice "NO CABE", las filas "Fuera" no caben en el horario definido.</t>
  </si>
  <si>
    <t xml:space="preserve">ARRIENDO DE CANCHAS</t>
  </si>
  <si>
    <t xml:space="preserve">Las horas salen del cronograma: horas de partidos + montaje + premiación + desmontaje. Solo debes poner la tarifa que te cobre el recinto.</t>
  </si>
  <si>
    <t xml:space="preserve">Concepto</t>
  </si>
  <si>
    <t xml:space="preserve">Sábado</t>
  </si>
  <si>
    <t xml:space="preserve">Domingo</t>
  </si>
  <si>
    <t xml:space="preserve">Canchas a arrendar</t>
  </si>
  <si>
    <t xml:space="preserve">Hora de término de partidos</t>
  </si>
  <si>
    <t xml:space="preserve">Solo el domingo.</t>
  </si>
  <si>
    <t xml:space="preserve">Montaje antes (min)</t>
  </si>
  <si>
    <t xml:space="preserve">Desmontaje después (min)</t>
  </si>
  <si>
    <t xml:space="preserve">Horas totales de arriendo por cancha</t>
  </si>
  <si>
    <t xml:space="preserve">Es lo que paga cada cancha ese día.</t>
  </si>
  <si>
    <t xml:space="preserve">Tarifa por hora por cancha (CLP)</t>
  </si>
  <si>
    <t xml:space="preserve">Pon aquí lo que cobra el recinto por hora.</t>
  </si>
  <si>
    <t xml:space="preserve">Tarifa fija por día por cancha (CLP)</t>
  </si>
  <si>
    <t xml:space="preserve">Solo si el recinto cobra por día completo. Si la completas, reemplaza la tarifa por hora.</t>
  </si>
  <si>
    <t xml:space="preserve">COSTO DE ARRIENDO DEL DÍA</t>
  </si>
  <si>
    <t xml:space="preserve">TOTAL ARRIENDO DE CANCHAS</t>
  </si>
  <si>
    <t xml:space="preserve">Horas pagadas que no son de juego (montaje, desmontaje y premiación)</t>
  </si>
  <si>
    <t xml:space="preserve">Negocia estas horas con el recinto: son las que más puedes reducir.</t>
  </si>
  <si>
    <t xml:space="preserve">GASTOS DEL TORNEO</t>
  </si>
  <si>
    <t xml:space="preserve">Solo completa los precios unitarios (celdas amarillas de la columna D). Las cantidades vienen calculadas desde Parametros: puedes sobrescribirlas.</t>
  </si>
  <si>
    <t xml:space="preserve">Precio unitario (CLP)</t>
  </si>
  <si>
    <t xml:space="preserve">Total (CLP)</t>
  </si>
  <si>
    <t xml:space="preserve">Cómo se calculó la cantidad / notas</t>
  </si>
  <si>
    <t xml:space="preserve">1. ARRIENDO DE CANCHAS Y RECINTO</t>
  </si>
  <si>
    <t xml:space="preserve">Arriendo de canchas · sábado</t>
  </si>
  <si>
    <t xml:space="preserve">día</t>
  </si>
  <si>
    <t xml:space="preserve">Calculado en la hoja Canchas</t>
  </si>
  <si>
    <t xml:space="preserve">Arriendo de canchas · domingo</t>
  </si>
  <si>
    <t xml:space="preserve">Camarines, baños e iluminación (si se cobran aparte)</t>
  </si>
  <si>
    <t xml:space="preserve">Subtotal Arriendo De Canchas Y Recinto</t>
  </si>
  <si>
    <t xml:space="preserve">2. PREMIACIÓN</t>
  </si>
  <si>
    <t xml:space="preserve">Copas campeón (grande)</t>
  </si>
  <si>
    <t xml:space="preserve">Una por categoría.</t>
  </si>
  <si>
    <t xml:space="preserve">Copas subcampeón (mediana)</t>
  </si>
  <si>
    <t xml:space="preserve">Copas tercer lugar</t>
  </si>
  <si>
    <t xml:space="preserve">Medallas de oro</t>
  </si>
  <si>
    <t xml:space="preserve">Categorías × jugadores por equipo con medalla.</t>
  </si>
  <si>
    <t xml:space="preserve">Medallas de plata</t>
  </si>
  <si>
    <t xml:space="preserve">Ídem.</t>
  </si>
  <si>
    <t xml:space="preserve">Medallas de bronce</t>
  </si>
  <si>
    <t xml:space="preserve">Trofeo Botín de Oro</t>
  </si>
  <si>
    <t xml:space="preserve">Uno por categoría.</t>
  </si>
  <si>
    <t xml:space="preserve">Trofeo Guante de Oro</t>
  </si>
  <si>
    <t xml:space="preserve">Trofeo MVP · GOAT</t>
  </si>
  <si>
    <t xml:space="preserve">Reconocimiento de participación (diploma o medalla)</t>
  </si>
  <si>
    <t xml:space="preserve">Jugadores que no reciben medalla de podio.</t>
  </si>
  <si>
    <t xml:space="preserve">Premio Fair Play (copa especial)</t>
  </si>
  <si>
    <t xml:space="preserve">Opcional.</t>
  </si>
  <si>
    <t xml:space="preserve">Podio / tarima de premiación (arriendo)</t>
  </si>
  <si>
    <t xml:space="preserve">Subtotal Premiación</t>
  </si>
  <si>
    <t xml:space="preserve">3. EQUIPAMIENTO DEPORTIVO</t>
  </si>
  <si>
    <t xml:space="preserve">Balones N°3 (Sub 7 y Sub 9)</t>
  </si>
  <si>
    <t xml:space="preserve">Uno por cancha + 1 de reserva.</t>
  </si>
  <si>
    <t xml:space="preserve">Balones N°4 (Sub 11 y Sub 13)</t>
  </si>
  <si>
    <t xml:space="preserve">Balones N°5 (Sub 15)</t>
  </si>
  <si>
    <t xml:space="preserve">Petos (2 colores)</t>
  </si>
  <si>
    <t xml:space="preserve">16 por cancha: 8 de cada color.</t>
  </si>
  <si>
    <t xml:space="preserve">Conos / platillos (set)</t>
  </si>
  <si>
    <t xml:space="preserve">set</t>
  </si>
  <si>
    <t xml:space="preserve">Un set por cancha.</t>
  </si>
  <si>
    <t xml:space="preserve">Arcos de fútbol 7 (arriendo, si el recinto no los tiene)</t>
  </si>
  <si>
    <t xml:space="preserve">Dos por cancha.</t>
  </si>
  <si>
    <t xml:space="preserve">Redes de repuesto</t>
  </si>
  <si>
    <t xml:space="preserve">Banderines de córner (juego de 4)</t>
  </si>
  <si>
    <t xml:space="preserve">juego</t>
  </si>
  <si>
    <t xml:space="preserve">Un juego por cancha.</t>
  </si>
  <si>
    <t xml:space="preserve">Bombas de aire, agujas y cinta</t>
  </si>
  <si>
    <t xml:space="preserve">Subtotal Equipamiento Deportivo</t>
  </si>
  <si>
    <t xml:space="preserve">4. ARBITRAJE Y MESA DE CONTROL</t>
  </si>
  <si>
    <t xml:space="preserve">Árbitro central (pago por jornada)</t>
  </si>
  <si>
    <t xml:space="preserve">jornada</t>
  </si>
  <si>
    <t xml:space="preserve">Canchas × días. Si pagas por partido, deja 0 y usa la fila de abajo.</t>
  </si>
  <si>
    <t xml:space="preserve">Árbitro asistente (pago por jornada)</t>
  </si>
  <si>
    <t xml:space="preserve">Árbitros pagados por partido (alternativa)</t>
  </si>
  <si>
    <t xml:space="preserve">partido</t>
  </si>
  <si>
    <t xml:space="preserve">Si pagas por partido, escribe aquí el total de partidos (Parametros!I18) y deja las jornadas en 0.</t>
  </si>
  <si>
    <t xml:space="preserve">Planilleros / mesa de control</t>
  </si>
  <si>
    <t xml:space="preserve">2 personas por día.</t>
  </si>
  <si>
    <t xml:space="preserve">Coordinador de árbitros</t>
  </si>
  <si>
    <t xml:space="preserve">Uno por día.</t>
  </si>
  <si>
    <t xml:space="preserve">Subtotal Arbitraje Y Mesa De Control</t>
  </si>
  <si>
    <t xml:space="preserve">5. PERSONAL ORGANIZADOR</t>
  </si>
  <si>
    <t xml:space="preserve">Coordinador general</t>
  </si>
  <si>
    <t xml:space="preserve">Encargados de cancha</t>
  </si>
  <si>
    <t xml:space="preserve">Uno por cancha por día.</t>
  </si>
  <si>
    <t xml:space="preserve">Acreditación y recepción de equipos</t>
  </si>
  <si>
    <t xml:space="preserve">Locución / animación</t>
  </si>
  <si>
    <t xml:space="preserve">Fotógrafo / video</t>
  </si>
  <si>
    <t xml:space="preserve">Solo fotografiar a quienes tengan autorización de imagen.</t>
  </si>
  <si>
    <t xml:space="preserve">Montaje y desmontaje (personal)</t>
  </si>
  <si>
    <t xml:space="preserve">Aseo y limpieza</t>
  </si>
  <si>
    <t xml:space="preserve">Seguridad / control de accesos</t>
  </si>
  <si>
    <t xml:space="preserve">Paramédico / primeros auxilios</t>
  </si>
  <si>
    <t xml:space="preserve">Ambulancia en stand-by (opcional)</t>
  </si>
  <si>
    <t xml:space="preserve">Subtotal Personal Organizador</t>
  </si>
  <si>
    <t xml:space="preserve">6. INFRAESTRUCTURA Y LOGÍSTICA</t>
  </si>
  <si>
    <t xml:space="preserve">Carpas 3×3 (mesa de control, primeros auxilios, premiación, hidratación)</t>
  </si>
  <si>
    <t xml:space="preserve">carpa</t>
  </si>
  <si>
    <t xml:space="preserve">Precio por los dos días.</t>
  </si>
  <si>
    <t xml:space="preserve">Mesas y sillas (set)</t>
  </si>
  <si>
    <t xml:space="preserve">Equipo de sonido y micrófono</t>
  </si>
  <si>
    <t xml:space="preserve">Generador / extensiones eléctricas</t>
  </si>
  <si>
    <t xml:space="preserve">Si el recinto no tiene suministro.</t>
  </si>
  <si>
    <t xml:space="preserve">Baños químicos</t>
  </si>
  <si>
    <t xml:space="preserve">Si el recinto no tiene suficientes.</t>
  </si>
  <si>
    <t xml:space="preserve">Contenedores y bolsas de basura</t>
  </si>
  <si>
    <t xml:space="preserve">Transporte y flete de materiales</t>
  </si>
  <si>
    <t xml:space="preserve">viaje</t>
  </si>
  <si>
    <t xml:space="preserve">Ida y vuelta de montaje y desmontaje.</t>
  </si>
  <si>
    <t xml:space="preserve">Subtotal Infraestructura Y Logística</t>
  </si>
  <si>
    <t xml:space="preserve">7. PUBLICIDAD Y MARCA</t>
  </si>
  <si>
    <t xml:space="preserve">Valla / arco del campeón (diseño e impresión)</t>
  </si>
  <si>
    <t xml:space="preserve">La valla de premiación para la foto del campeón.</t>
  </si>
  <si>
    <t xml:space="preserve">Banners roll-up de auspiciadores</t>
  </si>
  <si>
    <t xml:space="preserve">Banderas deportivas y de marca (con asta)</t>
  </si>
  <si>
    <t xml:space="preserve">Lienzos y pasacalles</t>
  </si>
  <si>
    <t xml:space="preserve">Credenciales o pulseras de acreditación</t>
  </si>
  <si>
    <t xml:space="preserve">Jugadores + 30 adultos. Ajusta.</t>
  </si>
  <si>
    <t xml:space="preserve">Fixture y planillas impresas</t>
  </si>
  <si>
    <t xml:space="preserve">hoja</t>
  </si>
  <si>
    <t xml:space="preserve">Diseño gráfico y redes sociales</t>
  </si>
  <si>
    <t xml:space="preserve">servicio</t>
  </si>
  <si>
    <t xml:space="preserve">Pauta publicitaria (Instagram / Meta)</t>
  </si>
  <si>
    <t xml:space="preserve">Video resumen y fotografías de cierre</t>
  </si>
  <si>
    <t xml:space="preserve">Subtotal Publicidad Y Marca</t>
  </si>
  <si>
    <t xml:space="preserve">8. REFRIGERIOS E HIDRATACIÓN</t>
  </si>
  <si>
    <t xml:space="preserve">Agua / hidratación para jugadores</t>
  </si>
  <si>
    <t xml:space="preserve">botella</t>
  </si>
  <si>
    <t xml:space="preserve">2 botellas por jugador por día.</t>
  </si>
  <si>
    <t xml:space="preserve">Refrigerio para jugadores (colación)</t>
  </si>
  <si>
    <t xml:space="preserve">porción</t>
  </si>
  <si>
    <t xml:space="preserve">Una por jugador por día.</t>
  </si>
  <si>
    <t xml:space="preserve">Refrigerio para árbitros y organización</t>
  </si>
  <si>
    <t xml:space="preserve">Supuesto: 40 personas por día. Ajusta.</t>
  </si>
  <si>
    <t xml:space="preserve">Hielo y coolers</t>
  </si>
  <si>
    <t xml:space="preserve">Vasos, servilletas y bolsas</t>
  </si>
  <si>
    <t xml:space="preserve">Subtotal Refrigerios E Hidratación</t>
  </si>
  <si>
    <t xml:space="preserve">9. SEGUROS, PERMISOS Y ADMINISTRACIÓN</t>
  </si>
  <si>
    <t xml:space="preserve">Seguro de accidentes (por jugador)</t>
  </si>
  <si>
    <t xml:space="preserve">jugador</t>
  </si>
  <si>
    <t xml:space="preserve">Consulta si es por evento o por persona.</t>
  </si>
  <si>
    <t xml:space="preserve">Permiso municipal / autorización del evento</t>
  </si>
  <si>
    <t xml:space="preserve">trámite</t>
  </si>
  <si>
    <t xml:space="preserve">Botiquín y material de primeros auxilios</t>
  </si>
  <si>
    <t xml:space="preserve">kit</t>
  </si>
  <si>
    <t xml:space="preserve">Plataforma digital (hosting, base de datos, dominio)</t>
  </si>
  <si>
    <t xml:space="preserve">mes</t>
  </si>
  <si>
    <t xml:space="preserve">Sitio web, panel admin y dominio goatleague.cl.</t>
  </si>
  <si>
    <t xml:space="preserve">Contabilidad, boletas y honorarios</t>
  </si>
  <si>
    <t xml:space="preserve">Subtotal Seguros, Permisos Y Administración</t>
  </si>
  <si>
    <t xml:space="preserve">SUBTOTAL GASTOS</t>
  </si>
  <si>
    <t xml:space="preserve">Imprevistos (% del subtotal)</t>
  </si>
  <si>
    <t xml:space="preserve">%</t>
  </si>
  <si>
    <t xml:space="preserve">Recomendado entre 5% y 15%.</t>
  </si>
  <si>
    <t xml:space="preserve">TOTAL GASTOS</t>
  </si>
  <si>
    <t xml:space="preserve">INGRESOS, UTILIDAD Y PUNTO DE EQUILIBRIO</t>
  </si>
  <si>
    <t xml:space="preserve">Define la cuota por equipo y mira cuánto necesitas recaudar. Los gastos vienen de la hoja Gastos.</t>
  </si>
  <si>
    <t xml:space="preserve">INGRESOS</t>
  </si>
  <si>
    <t xml:space="preserve">Equipos inscritos (hoja Parametros)</t>
  </si>
  <si>
    <t xml:space="preserve">Cuota de inscripción por equipo (CLP)</t>
  </si>
  <si>
    <t xml:space="preserve">Descuento promedio por pronto pago o convenio (%)</t>
  </si>
  <si>
    <t xml:space="preserve">Ingreso por inscripciones</t>
  </si>
  <si>
    <t xml:space="preserve">Auspicios y patrocinios</t>
  </si>
  <si>
    <t xml:space="preserve">Cantina / food trucks (arriendo o venta)</t>
  </si>
  <si>
    <t xml:space="preserve">Otros (fotos, merchandising)</t>
  </si>
  <si>
    <t xml:space="preserve">TOTAL INGRESOS BRUTOS</t>
  </si>
  <si>
    <t xml:space="preserve">Comisión de pasarela de pago (% sobre inscripciones)</t>
  </si>
  <si>
    <t xml:space="preserve">Impuestos (IVA / retención, % sobre ingresos)</t>
  </si>
  <si>
    <t xml:space="preserve">Descuento por comisión e impuestos</t>
  </si>
  <si>
    <t xml:space="preserve">INGRESOS NETOS</t>
  </si>
  <si>
    <t xml:space="preserve">RESULTADO</t>
  </si>
  <si>
    <t xml:space="preserve">Total gastos (hoja Gastos)</t>
  </si>
  <si>
    <t xml:space="preserve">UTILIDAD O PÉRDIDA</t>
  </si>
  <si>
    <t xml:space="preserve">Margen sobre ingresos brutos</t>
  </si>
  <si>
    <t xml:space="preserve">COSTO POR UNIDAD</t>
  </si>
  <si>
    <t xml:space="preserve">Costo por equipo</t>
  </si>
  <si>
    <t xml:space="preserve">Costo por jugador</t>
  </si>
  <si>
    <t xml:space="preserve">Costo por partido</t>
  </si>
  <si>
    <t xml:space="preserve">Cuota equivalente por jugador (cuota ÷ jugadores por equipo)</t>
  </si>
  <si>
    <t xml:space="preserve">PUNTO DE EQUILIBRIO</t>
  </si>
  <si>
    <t xml:space="preserve">Cuota mínima por equipo para cubrir los gastos</t>
  </si>
  <si>
    <t xml:space="preserve">Equipos necesarios para cubrir gastos con la cuota ingresada</t>
  </si>
  <si>
    <t xml:space="preserve">Utilidad objetivo (CLP)</t>
  </si>
  <si>
    <t xml:space="preserve">Cuota por equipo para lograr esa utilidad</t>
  </si>
  <si>
    <t xml:space="preserve">PLAN DE PAGOS POR EQUIPO</t>
  </si>
  <si>
    <t xml:space="preserve">% de reserva al confirmar el cupo</t>
  </si>
  <si>
    <t xml:space="preserve">Monto de reserva por equipo</t>
  </si>
  <si>
    <t xml:space="preserve">Saldo por equipo</t>
  </si>
  <si>
    <t xml:space="preserve">Fecha límite de la reserva</t>
  </si>
  <si>
    <t xml:space="preserve">Fecha límite del saldo</t>
  </si>
  <si>
    <t xml:space="preserve">UTILIDAD SEGÚN CUOTA Y NÚMERO DE EQUIPOS</t>
  </si>
  <si>
    <t xml:space="preserve">Cuota inicial de la tabla (CLP)</t>
  </si>
  <si>
    <t xml:space="preserve">Paso entre cuotas (CLP)</t>
  </si>
  <si>
    <t xml:space="preserve">Cuota por equipo ↓   /   Equipos →</t>
  </si>
  <si>
    <t xml:space="preserve">Rojo = pérdida, verde = utilidad. Pon primero la cuota inicial y el paso (ej.: 100.000 y 25.000).</t>
  </si>
  <si>
    <t xml:space="preserve">COTIZACIONES POR PROVEEDOR</t>
  </si>
  <si>
    <t xml:space="preserve">Anota tres cotizaciones por rubro y marca la elegida. Imprímela y llévala a terreno; luego pasa el precio a la hoja Gastos.</t>
  </si>
  <si>
    <t xml:space="preserve">Rubro</t>
  </si>
  <si>
    <t xml:space="preserve">Proveedor 1</t>
  </si>
  <si>
    <t xml:space="preserve">Precio 1</t>
  </si>
  <si>
    <t xml:space="preserve">Proveedor 2</t>
  </si>
  <si>
    <t xml:space="preserve">Precio 2</t>
  </si>
  <si>
    <t xml:space="preserve">Proveedor 3</t>
  </si>
  <si>
    <t xml:space="preserve">Precio 3</t>
  </si>
  <si>
    <t xml:space="preserve">Elegido</t>
  </si>
  <si>
    <t xml:space="preserve">Contacto</t>
  </si>
  <si>
    <t xml:space="preserve">Notas</t>
  </si>
  <si>
    <t xml:space="preserve">Arriendo de canchas</t>
  </si>
  <si>
    <t xml:space="preserve">Copas y trofeos</t>
  </si>
  <si>
    <t xml:space="preserve">Medallas</t>
  </si>
  <si>
    <t xml:space="preserve">Balones</t>
  </si>
  <si>
    <t xml:space="preserve">Petos</t>
  </si>
  <si>
    <t xml:space="preserve">Conos y equipamiento</t>
  </si>
  <si>
    <t xml:space="preserve">Arcos de fútbol 7</t>
  </si>
  <si>
    <t xml:space="preserve">Árbitros</t>
  </si>
  <si>
    <t xml:space="preserve">Mesa de control / planilleros</t>
  </si>
  <si>
    <t xml:space="preserve">Personal organizador</t>
  </si>
  <si>
    <t xml:space="preserve">Paramédico / ambulancia</t>
  </si>
  <si>
    <t xml:space="preserve">Carpas</t>
  </si>
  <si>
    <t xml:space="preserve">Mesas y sillas</t>
  </si>
  <si>
    <t xml:space="preserve">Sonido y micrófono</t>
  </si>
  <si>
    <t xml:space="preserve">Generador / electricidad</t>
  </si>
  <si>
    <t xml:space="preserve">Valla / arco del campeón</t>
  </si>
  <si>
    <t xml:space="preserve">Banners y lienzos</t>
  </si>
  <si>
    <t xml:space="preserve">Banderas deportivas</t>
  </si>
  <si>
    <t xml:space="preserve">Credenciales / pulseras</t>
  </si>
  <si>
    <t xml:space="preserve">Impresiones (fixture, diplomas)</t>
  </si>
  <si>
    <t xml:space="preserve">Agua e hidratación</t>
  </si>
  <si>
    <t xml:space="preserve">Refrigerios</t>
  </si>
  <si>
    <t xml:space="preserve">Seguro de accidentes</t>
  </si>
  <si>
    <t xml:space="preserve">Fotografía y video</t>
  </si>
  <si>
    <t xml:space="preserve">Diseño gráfico</t>
  </si>
  <si>
    <t xml:space="preserve">Transporte y flete</t>
  </si>
  <si>
    <t xml:space="preserve">Aseo y basura</t>
  </si>
  <si>
    <t xml:space="preserve">CHECKLIST DEL TORNEO</t>
  </si>
  <si>
    <t xml:space="preserve">Marca ☐ al cumplir cada tarea. Asigna responsable y fecha.</t>
  </si>
  <si>
    <t xml:space="preserve">☐</t>
  </si>
  <si>
    <t xml:space="preserve">Tarea</t>
  </si>
  <si>
    <t xml:space="preserve">Responsable</t>
  </si>
  <si>
    <t xml:space="preserve">Fecha límite</t>
  </si>
  <si>
    <t xml:space="preserve">4 SEMANAS ANTES</t>
  </si>
  <si>
    <t xml:space="preserve">Confirmar fechas y reservar las canchas por escrito (horarios, montaje y desmontaje)</t>
  </si>
  <si>
    <t xml:space="preserve">Pedir cotizaciones (hoja Cotizaciones) y definir presupuesto</t>
  </si>
  <si>
    <t xml:space="preserve">Definir cuota por equipo y plan de pagos</t>
  </si>
  <si>
    <t xml:space="preserve">Definir cupos por categoría y fecha de cierre de inscripciones</t>
  </si>
  <si>
    <t xml:space="preserve">Revisar permisos municipales y requisitos del recinto</t>
  </si>
  <si>
    <t xml:space="preserve">3 SEMANAS ANTES</t>
  </si>
  <si>
    <t xml:space="preserve">Contratar árbitros, mesa de control y paramédico</t>
  </si>
  <si>
    <t xml:space="preserve">Contratar seguro de accidentes</t>
  </si>
  <si>
    <t xml:space="preserve">Encargar copas, medallas y trofeos</t>
  </si>
  <si>
    <t xml:space="preserve">Encargar valla del campeón, banners y banderas</t>
  </si>
  <si>
    <t xml:space="preserve">Confirmar equipos y recoger nóminas de jugadores</t>
  </si>
  <si>
    <t xml:space="preserve">2 SEMANAS ANTES</t>
  </si>
  <si>
    <t xml:space="preserve">Recibir las autorizaciones firmadas de apoderados (datos e imagen) de cada club</t>
  </si>
  <si>
    <t xml:space="preserve">Armar fixture y cronograma de cada cancha (hoja Cronograma)</t>
  </si>
  <si>
    <t xml:space="preserve">Comprar balones, petos y conos</t>
  </si>
  <si>
    <t xml:space="preserve">Reservar carpas, sonido, baños y generador</t>
  </si>
  <si>
    <t xml:space="preserve">Publicar fixture y reglamento en el sitio</t>
  </si>
  <si>
    <t xml:space="preserve">1 SEMANA ANTES</t>
  </si>
  <si>
    <t xml:space="preserve">Confirmar asistencia del personal y asignar cancha a cada encargado</t>
  </si>
  <si>
    <t xml:space="preserve">Imprimir fixture, planillas y credenciales</t>
  </si>
  <si>
    <t xml:space="preserve">Comprar agua y refrigerios</t>
  </si>
  <si>
    <t xml:space="preserve">Enviar a los clubes horarios, ubicación y reglas de comportamiento</t>
  </si>
  <si>
    <t xml:space="preserve">Revisar el pronóstico y definir plan de contingencia por clima</t>
  </si>
  <si>
    <t xml:space="preserve">DÍA PREVIO</t>
  </si>
  <si>
    <t xml:space="preserve">Montaje: canchas, arcos, carpas, mesa de control y primeros auxilios</t>
  </si>
  <si>
    <t xml:space="preserve">Probar sonido y marcador</t>
  </si>
  <si>
    <t xml:space="preserve">Revisar botiquín y vías de acceso de emergencia</t>
  </si>
  <si>
    <t xml:space="preserve">SÁBADO</t>
  </si>
  <si>
    <t xml:space="preserve">Acreditación de equipos (verificar edades y autorizaciones)</t>
  </si>
  <si>
    <t xml:space="preserve">Reunión técnica con delegados y árbitros</t>
  </si>
  <si>
    <t xml:space="preserve">Registrar resultados en el panel admin al terminar cada partido</t>
  </si>
  <si>
    <t xml:space="preserve">Subir las primeras fotos solo de jugadores con autorización de imagen</t>
  </si>
  <si>
    <t xml:space="preserve">DOMINGO</t>
  </si>
  <si>
    <t xml:space="preserve">Publicar cruces de semifinales y finales</t>
  </si>
  <si>
    <t xml:space="preserve">Ceremonia de premiación y foto del campeón en la valla</t>
  </si>
  <si>
    <t xml:space="preserve">Entrega de reconocimientos de participación</t>
  </si>
  <si>
    <t xml:space="preserve">Desmontaje y entrega del recinto</t>
  </si>
  <si>
    <t xml:space="preserve">DESPUÉS</t>
  </si>
  <si>
    <t xml:space="preserve">Pagar a proveedores y árbitros</t>
  </si>
  <si>
    <t xml:space="preserve">Cerrar caja: comparar real vs presupuesto (hojas Gastos e Ingresos)</t>
  </si>
  <si>
    <t xml:space="preserve">Publicar galería y resultados</t>
  </si>
  <si>
    <t xml:space="preserve">Atender solicitudes de retiro de imágenes dentro de los plazos</t>
  </si>
  <si>
    <t xml:space="preserve">Encuesta a clubes y fecha de la siguiente edición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</si>
</sst>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;&quot;($&quot;#,##0\);\-"/>
    <numFmt numFmtId="166" formatCode="dd\-mm\-yyyy"/>
    <numFmt numFmtId="167" formatCode="#,##0;\(#,##0\);\-"/>
    <numFmt numFmtId="168" formatCode="0.0"/>
    <numFmt numFmtId="169" formatCode="hh:mm"/>
    <numFmt numFmtId="170" formatCode="0.00"/>
    <numFmt numFmtId="171" formatCode="0%"/>
    <numFmt numFmtId="172" formatCode="0.0%;\(0.0%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0B2417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B2417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2417"/>
        <bgColor rgb="FF003366"/>
      </patternFill>
    </fill>
    <fill>
      <patternFill patternType="solid">
        <fgColor rgb="FFDCE9DF"/>
        <bgColor rgb="FFE8E1CD"/>
      </patternFill>
    </fill>
    <fill>
      <patternFill patternType="solid">
        <fgColor rgb="FFFFFF99"/>
        <bgColor rgb="FFE8E1CD"/>
      </patternFill>
    </fill>
    <fill>
      <patternFill patternType="solid">
        <fgColor rgb="FFE8E1CD"/>
        <bgColor rgb="FFDCE9D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4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name val="Arial"/>
        <charset val="1"/>
        <family val="0"/>
        <color rgb="FFA6A6A6"/>
      </font>
    </dxf>
    <dxf>
      <font>
        <name val="Arial"/>
        <charset val="1"/>
        <family val="0"/>
        <b val="1"/>
        <color rgb="FF9C0006"/>
      </font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E8E1CD"/>
      <rgbColor rgb="FFDCE9D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A6A6A6"/>
      <rgbColor rgb="FF003366"/>
      <rgbColor rgb="FF339966"/>
      <rgbColor rgb="FF0B2417"/>
      <rgbColor rgb="FF0061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6"/>
    <col collapsed="false" customWidth="true" hidden="false" outlineLevel="0" max="6" min="6" style="0" width="4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4"/>
      <c r="C4" s="4"/>
      <c r="D4" s="4"/>
      <c r="E4" s="4"/>
      <c r="F4" s="4"/>
    </row>
    <row r="5" customFormat="false" ht="27.75" hidden="false" customHeight="true" outlineLevel="0" collapsed="false">
      <c r="A5" s="5" t="s">
        <v>3</v>
      </c>
      <c r="B5" s="5"/>
      <c r="C5" s="5"/>
      <c r="D5" s="5"/>
      <c r="E5" s="5"/>
      <c r="F5" s="5"/>
    </row>
    <row r="6" customFormat="false" ht="27.75" hidden="false" customHeight="true" outlineLevel="0" collapsed="false">
      <c r="A6" s="5" t="s">
        <v>4</v>
      </c>
      <c r="B6" s="5"/>
      <c r="C6" s="5"/>
      <c r="D6" s="5"/>
      <c r="E6" s="5"/>
      <c r="F6" s="5"/>
    </row>
    <row r="7" customFormat="false" ht="27.75" hidden="false" customHeight="true" outlineLevel="0" collapsed="false">
      <c r="A7" s="5" t="s">
        <v>5</v>
      </c>
      <c r="B7" s="5"/>
      <c r="C7" s="5"/>
      <c r="D7" s="5"/>
      <c r="E7" s="5"/>
      <c r="F7" s="5"/>
    </row>
    <row r="8" customFormat="false" ht="27.75" hidden="false" customHeight="true" outlineLevel="0" collapsed="false">
      <c r="A8" s="5" t="s">
        <v>6</v>
      </c>
      <c r="B8" s="5"/>
      <c r="C8" s="5"/>
      <c r="D8" s="5"/>
      <c r="E8" s="5"/>
      <c r="F8" s="5"/>
    </row>
    <row r="9" customFormat="false" ht="27.75" hidden="false" customHeight="true" outlineLevel="0" collapsed="false">
      <c r="A9" s="5" t="s">
        <v>7</v>
      </c>
      <c r="B9" s="5"/>
      <c r="C9" s="5"/>
      <c r="D9" s="5"/>
      <c r="E9" s="5"/>
      <c r="F9" s="5"/>
    </row>
    <row r="10" customFormat="false" ht="27.75" hidden="false" customHeight="true" outlineLevel="0" collapsed="false">
      <c r="A10" s="5" t="s">
        <v>8</v>
      </c>
      <c r="B10" s="5"/>
      <c r="C10" s="5"/>
      <c r="D10" s="5"/>
      <c r="E10" s="5"/>
      <c r="F10" s="5"/>
    </row>
    <row r="11" customFormat="false" ht="27.75" hidden="false" customHeight="true" outlineLevel="0" collapsed="false">
      <c r="A11" s="5" t="s">
        <v>9</v>
      </c>
      <c r="B11" s="5"/>
      <c r="C11" s="5"/>
      <c r="D11" s="5"/>
      <c r="E11" s="5"/>
      <c r="F11" s="5"/>
    </row>
    <row r="13" customFormat="false" ht="15" hidden="false" customHeight="false" outlineLevel="0" collapsed="false">
      <c r="A13" s="3" t="s">
        <v>10</v>
      </c>
      <c r="B13" s="4"/>
      <c r="C13" s="4"/>
      <c r="D13" s="4"/>
      <c r="E13" s="4"/>
      <c r="F13" s="4"/>
    </row>
    <row r="14" customFormat="false" ht="15" hidden="false" customHeight="false" outlineLevel="0" collapsed="false">
      <c r="A14" s="6" t="s">
        <v>11</v>
      </c>
      <c r="B14" s="7" t="s">
        <v>12</v>
      </c>
      <c r="C14" s="7"/>
      <c r="D14" s="7"/>
      <c r="E14" s="7"/>
      <c r="F14" s="7"/>
    </row>
    <row r="15" customFormat="false" ht="15" hidden="false" customHeight="false" outlineLevel="0" collapsed="false">
      <c r="A15" s="8" t="s">
        <v>13</v>
      </c>
      <c r="B15" s="7" t="s">
        <v>14</v>
      </c>
      <c r="C15" s="7"/>
      <c r="D15" s="7"/>
      <c r="E15" s="7"/>
      <c r="F15" s="7"/>
    </row>
    <row r="16" customFormat="false" ht="15" hidden="false" customHeight="false" outlineLevel="0" collapsed="false">
      <c r="A16" s="9" t="s">
        <v>15</v>
      </c>
      <c r="B16" s="7" t="s">
        <v>16</v>
      </c>
      <c r="C16" s="7"/>
      <c r="D16" s="7"/>
      <c r="E16" s="7"/>
      <c r="F16" s="7"/>
    </row>
    <row r="18" customFormat="false" ht="15" hidden="false" customHeight="false" outlineLevel="0" collapsed="false">
      <c r="A18" s="3" t="s">
        <v>17</v>
      </c>
      <c r="B18" s="4"/>
      <c r="C18" s="4"/>
      <c r="D18" s="4"/>
      <c r="E18" s="4"/>
      <c r="F18" s="4"/>
    </row>
    <row r="19" customFormat="false" ht="15" hidden="false" customHeight="false" outlineLevel="0" collapsed="false">
      <c r="A19" s="10" t="s">
        <v>18</v>
      </c>
      <c r="B19" s="10" t="s">
        <v>19</v>
      </c>
      <c r="C19" s="10" t="s">
        <v>20</v>
      </c>
      <c r="D19" s="10" t="s">
        <v>21</v>
      </c>
      <c r="E19" s="10" t="s">
        <v>22</v>
      </c>
      <c r="F19" s="10" t="s">
        <v>23</v>
      </c>
    </row>
    <row r="20" customFormat="false" ht="15" hidden="false" customHeight="false" outlineLevel="0" collapsed="false">
      <c r="A20" s="11" t="s">
        <v>24</v>
      </c>
      <c r="B20" s="11" t="s">
        <v>25</v>
      </c>
      <c r="C20" s="12" t="n">
        <v>6</v>
      </c>
      <c r="D20" s="13" t="n">
        <v>18000</v>
      </c>
      <c r="E20" s="14" t="n">
        <f aca="false">C20*D20</f>
        <v>108000</v>
      </c>
      <c r="F20" s="15" t="s">
        <v>26</v>
      </c>
    </row>
    <row r="22" customFormat="false" ht="15" hidden="false" customHeight="false" outlineLevel="0" collapsed="false">
      <c r="A22" s="3" t="s">
        <v>27</v>
      </c>
      <c r="B22" s="4"/>
      <c r="C22" s="4"/>
      <c r="D22" s="4"/>
      <c r="E22" s="4"/>
      <c r="F22" s="4"/>
    </row>
    <row r="23" customFormat="false" ht="27.75" hidden="false" customHeight="true" outlineLevel="0" collapsed="false">
      <c r="A23" s="16" t="s">
        <v>28</v>
      </c>
      <c r="B23" s="17" t="s">
        <v>29</v>
      </c>
      <c r="C23" s="17"/>
      <c r="D23" s="17"/>
      <c r="E23" s="17"/>
      <c r="F23" s="17"/>
    </row>
    <row r="24" customFormat="false" ht="27.75" hidden="false" customHeight="true" outlineLevel="0" collapsed="false">
      <c r="A24" s="16" t="s">
        <v>30</v>
      </c>
      <c r="B24" s="17" t="s">
        <v>31</v>
      </c>
      <c r="C24" s="17"/>
      <c r="D24" s="17"/>
      <c r="E24" s="17"/>
      <c r="F24" s="17"/>
    </row>
    <row r="25" customFormat="false" ht="27.75" hidden="false" customHeight="true" outlineLevel="0" collapsed="false">
      <c r="A25" s="16" t="s">
        <v>32</v>
      </c>
      <c r="B25" s="17" t="s">
        <v>33</v>
      </c>
      <c r="C25" s="17"/>
      <c r="D25" s="17"/>
      <c r="E25" s="17"/>
      <c r="F25" s="17"/>
    </row>
    <row r="26" customFormat="false" ht="27.75" hidden="false" customHeight="true" outlineLevel="0" collapsed="false">
      <c r="A26" s="16" t="s">
        <v>34</v>
      </c>
      <c r="B26" s="17" t="s">
        <v>35</v>
      </c>
      <c r="C26" s="17"/>
      <c r="D26" s="17"/>
      <c r="E26" s="17"/>
      <c r="F26" s="17"/>
    </row>
    <row r="27" customFormat="false" ht="27.75" hidden="false" customHeight="true" outlineLevel="0" collapsed="false">
      <c r="A27" s="16" t="s">
        <v>36</v>
      </c>
      <c r="B27" s="17" t="s">
        <v>37</v>
      </c>
      <c r="C27" s="17"/>
      <c r="D27" s="17"/>
      <c r="E27" s="17"/>
      <c r="F27" s="17"/>
    </row>
    <row r="28" customFormat="false" ht="27.75" hidden="false" customHeight="true" outlineLevel="0" collapsed="false">
      <c r="A28" s="16" t="s">
        <v>38</v>
      </c>
      <c r="B28" s="17" t="s">
        <v>39</v>
      </c>
      <c r="C28" s="17"/>
      <c r="D28" s="17"/>
      <c r="E28" s="17"/>
      <c r="F28" s="17"/>
    </row>
  </sheetData>
  <mergeCells count="18">
    <mergeCell ref="A1:F1"/>
    <mergeCell ref="A2:F2"/>
    <mergeCell ref="A5:F5"/>
    <mergeCell ref="A6:F6"/>
    <mergeCell ref="A7:F7"/>
    <mergeCell ref="A8:F8"/>
    <mergeCell ref="A9:F9"/>
    <mergeCell ref="A10:F10"/>
    <mergeCell ref="A11:F11"/>
    <mergeCell ref="B14:F14"/>
    <mergeCell ref="B15:F15"/>
    <mergeCell ref="B16:F16"/>
    <mergeCell ref="B23:F23"/>
    <mergeCell ref="B24:F24"/>
    <mergeCell ref="B25:F25"/>
    <mergeCell ref="B26:F26"/>
    <mergeCell ref="B27:F27"/>
    <mergeCell ref="B28:F28"/>
  </mergeCells>
  <printOptions headings="false" gridLines="false" gridLinesSet="true" horizontalCentered="false" verticalCentered="false"/>
  <pageMargins left="0.4" right="0.4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&amp;CGOAT LEAGUE · Planificación · &amp;A · 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4"/>
    <col collapsed="false" customWidth="true" hidden="false" outlineLevel="0" max="6" min="4" style="0" width="16"/>
    <col collapsed="false" customWidth="true" hidden="false" outlineLevel="0" max="7" min="7" style="0" width="18"/>
    <col collapsed="false" customWidth="true" hidden="false" outlineLevel="0" max="8" min="8" style="0" width="20"/>
    <col collapsed="false" customWidth="true" hidden="false" outlineLevel="0" max="10" min="9" style="0" width="14"/>
  </cols>
  <sheetData>
    <row r="1" customFormat="false" ht="30" hidden="false" customHeight="true" outlineLevel="0" collapsed="false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7.75" hidden="false" customHeight="true" outlineLevel="0" collapsed="false">
      <c r="A2" s="2" t="s">
        <v>41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 t="s">
        <v>42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15" hidden="false" customHeight="false" outlineLevel="0" collapsed="false">
      <c r="A5" s="8" t="s">
        <v>43</v>
      </c>
      <c r="B5" s="6" t="s">
        <v>44</v>
      </c>
      <c r="C5" s="6"/>
      <c r="D5" s="6"/>
    </row>
    <row r="6" customFormat="false" ht="15" hidden="false" customHeight="false" outlineLevel="0" collapsed="false">
      <c r="A6" s="8" t="s">
        <v>45</v>
      </c>
      <c r="B6" s="18" t="n">
        <v>46333</v>
      </c>
    </row>
    <row r="7" customFormat="false" ht="15" hidden="false" customHeight="false" outlineLevel="0" collapsed="false">
      <c r="A7" s="8" t="s">
        <v>46</v>
      </c>
      <c r="B7" s="19" t="n">
        <f aca="false">B6+1</f>
        <v>46334</v>
      </c>
    </row>
    <row r="8" customFormat="false" ht="15" hidden="false" customHeight="false" outlineLevel="0" collapsed="false">
      <c r="A8" s="8" t="s">
        <v>47</v>
      </c>
      <c r="B8" s="6"/>
      <c r="C8" s="6"/>
      <c r="D8" s="6"/>
    </row>
    <row r="9" customFormat="false" ht="15" hidden="false" customHeight="false" outlineLevel="0" collapsed="false">
      <c r="A9" s="8" t="s">
        <v>48</v>
      </c>
      <c r="B9" s="18"/>
    </row>
    <row r="11" customFormat="false" ht="15" hidden="false" customHeight="false" outlineLevel="0" collapsed="false">
      <c r="A11" s="3" t="s">
        <v>49</v>
      </c>
      <c r="B11" s="4"/>
      <c r="C11" s="4"/>
      <c r="D11" s="4"/>
      <c r="E11" s="4"/>
      <c r="F11" s="4"/>
      <c r="G11" s="4"/>
      <c r="H11" s="4"/>
      <c r="I11" s="4"/>
      <c r="J11" s="4"/>
    </row>
    <row r="12" customFormat="false" ht="42" hidden="false" customHeight="true" outlineLevel="0" collapsed="false">
      <c r="A12" s="20" t="s">
        <v>50</v>
      </c>
      <c r="B12" s="20" t="s">
        <v>51</v>
      </c>
      <c r="C12" s="20" t="s">
        <v>52</v>
      </c>
      <c r="D12" s="20" t="s">
        <v>53</v>
      </c>
      <c r="E12" s="20" t="s">
        <v>54</v>
      </c>
      <c r="F12" s="20" t="s">
        <v>55</v>
      </c>
      <c r="G12" s="20" t="s">
        <v>56</v>
      </c>
      <c r="H12" s="20" t="s">
        <v>57</v>
      </c>
      <c r="I12" s="20" t="s">
        <v>58</v>
      </c>
      <c r="J12" s="20" t="s">
        <v>59</v>
      </c>
    </row>
    <row r="13" customFormat="false" ht="15" hidden="false" customHeight="false" outlineLevel="0" collapsed="false">
      <c r="A13" s="21" t="s">
        <v>60</v>
      </c>
      <c r="B13" s="22" t="n">
        <v>4</v>
      </c>
      <c r="C13" s="22" t="n">
        <v>1</v>
      </c>
      <c r="D13" s="23" t="n">
        <f aca="false">IF(C13=0,0,B13/C13)</f>
        <v>4</v>
      </c>
      <c r="E13" s="22" t="n">
        <v>12</v>
      </c>
      <c r="F13" s="24" t="n">
        <f aca="false">B13*E13</f>
        <v>48</v>
      </c>
      <c r="G13" s="24" t="n">
        <f aca="false">IF(C13=0,0,C13*D13*(D13-1)/2)</f>
        <v>6</v>
      </c>
      <c r="H13" s="22" t="n">
        <v>2</v>
      </c>
      <c r="I13" s="24" t="n">
        <f aca="false">G13+H13</f>
        <v>8</v>
      </c>
      <c r="J13" s="25" t="str">
        <f aca="false">IF(C13=0,"Sin grupos",IF(MOD(B13,C13)=0,"OK","Revisar"))</f>
        <v>OK</v>
      </c>
    </row>
    <row r="14" customFormat="false" ht="15" hidden="false" customHeight="false" outlineLevel="0" collapsed="false">
      <c r="A14" s="21" t="s">
        <v>61</v>
      </c>
      <c r="B14" s="22" t="n">
        <v>4</v>
      </c>
      <c r="C14" s="22" t="n">
        <v>1</v>
      </c>
      <c r="D14" s="23" t="n">
        <f aca="false">IF(C14=0,0,B14/C14)</f>
        <v>4</v>
      </c>
      <c r="E14" s="22" t="n">
        <v>12</v>
      </c>
      <c r="F14" s="24" t="n">
        <f aca="false">B14*E14</f>
        <v>48</v>
      </c>
      <c r="G14" s="24" t="n">
        <f aca="false">IF(C14=0,0,C14*D14*(D14-1)/2)</f>
        <v>6</v>
      </c>
      <c r="H14" s="22" t="n">
        <v>2</v>
      </c>
      <c r="I14" s="24" t="n">
        <f aca="false">G14+H14</f>
        <v>8</v>
      </c>
      <c r="J14" s="25" t="str">
        <f aca="false">IF(C14=0,"Sin grupos",IF(MOD(B14,C14)=0,"OK","Revisar"))</f>
        <v>OK</v>
      </c>
    </row>
    <row r="15" customFormat="false" ht="15" hidden="false" customHeight="false" outlineLevel="0" collapsed="false">
      <c r="A15" s="21" t="s">
        <v>62</v>
      </c>
      <c r="B15" s="22" t="n">
        <v>4</v>
      </c>
      <c r="C15" s="22" t="n">
        <v>1</v>
      </c>
      <c r="D15" s="23" t="n">
        <f aca="false">IF(C15=0,0,B15/C15)</f>
        <v>4</v>
      </c>
      <c r="E15" s="22" t="n">
        <v>12</v>
      </c>
      <c r="F15" s="24" t="n">
        <f aca="false">B15*E15</f>
        <v>48</v>
      </c>
      <c r="G15" s="24" t="n">
        <f aca="false">IF(C15=0,0,C15*D15*(D15-1)/2)</f>
        <v>6</v>
      </c>
      <c r="H15" s="22" t="n">
        <v>2</v>
      </c>
      <c r="I15" s="24" t="n">
        <f aca="false">G15+H15</f>
        <v>8</v>
      </c>
      <c r="J15" s="25" t="str">
        <f aca="false">IF(C15=0,"Sin grupos",IF(MOD(B15,C15)=0,"OK","Revisar"))</f>
        <v>OK</v>
      </c>
    </row>
    <row r="16" customFormat="false" ht="15" hidden="false" customHeight="false" outlineLevel="0" collapsed="false">
      <c r="A16" s="21" t="s">
        <v>63</v>
      </c>
      <c r="B16" s="22" t="n">
        <v>4</v>
      </c>
      <c r="C16" s="22" t="n">
        <v>1</v>
      </c>
      <c r="D16" s="23" t="n">
        <f aca="false">IF(C16=0,0,B16/C16)</f>
        <v>4</v>
      </c>
      <c r="E16" s="22" t="n">
        <v>12</v>
      </c>
      <c r="F16" s="24" t="n">
        <f aca="false">B16*E16</f>
        <v>48</v>
      </c>
      <c r="G16" s="24" t="n">
        <f aca="false">IF(C16=0,0,C16*D16*(D16-1)/2)</f>
        <v>6</v>
      </c>
      <c r="H16" s="22" t="n">
        <v>2</v>
      </c>
      <c r="I16" s="24" t="n">
        <f aca="false">G16+H16</f>
        <v>8</v>
      </c>
      <c r="J16" s="25" t="str">
        <f aca="false">IF(C16=0,"Sin grupos",IF(MOD(B16,C16)=0,"OK","Revisar"))</f>
        <v>OK</v>
      </c>
    </row>
    <row r="17" customFormat="false" ht="15" hidden="false" customHeight="false" outlineLevel="0" collapsed="false">
      <c r="A17" s="21" t="s">
        <v>64</v>
      </c>
      <c r="B17" s="22" t="n">
        <v>4</v>
      </c>
      <c r="C17" s="22" t="n">
        <v>1</v>
      </c>
      <c r="D17" s="23" t="n">
        <f aca="false">IF(C17=0,0,B17/C17)</f>
        <v>4</v>
      </c>
      <c r="E17" s="22" t="n">
        <v>12</v>
      </c>
      <c r="F17" s="24" t="n">
        <f aca="false">B17*E17</f>
        <v>48</v>
      </c>
      <c r="G17" s="24" t="n">
        <f aca="false">IF(C17=0,0,C17*D17*(D17-1)/2)</f>
        <v>6</v>
      </c>
      <c r="H17" s="22" t="n">
        <v>2</v>
      </c>
      <c r="I17" s="24" t="n">
        <f aca="false">G17+H17</f>
        <v>8</v>
      </c>
      <c r="J17" s="25" t="str">
        <f aca="false">IF(C17=0,"Sin grupos",IF(MOD(B17,C17)=0,"OK","Revisar"))</f>
        <v>OK</v>
      </c>
    </row>
    <row r="18" customFormat="false" ht="15" hidden="false" customHeight="false" outlineLevel="0" collapsed="false">
      <c r="A18" s="26" t="s">
        <v>65</v>
      </c>
      <c r="B18" s="27" t="n">
        <f aca="false">SUM(B13:B17)</f>
        <v>20</v>
      </c>
      <c r="C18" s="27" t="n">
        <f aca="false">SUM(C13:C17)</f>
        <v>5</v>
      </c>
      <c r="D18" s="28"/>
      <c r="E18" s="28"/>
      <c r="F18" s="27" t="n">
        <f aca="false">SUM(F13:F17)</f>
        <v>240</v>
      </c>
      <c r="G18" s="27" t="n">
        <f aca="false">SUM(G13:G17)</f>
        <v>30</v>
      </c>
      <c r="H18" s="27" t="n">
        <f aca="false">SUM(H13:H17)</f>
        <v>10</v>
      </c>
      <c r="I18" s="27" t="n">
        <f aca="false">SUM(I13:I17)</f>
        <v>40</v>
      </c>
      <c r="J18" s="28"/>
    </row>
    <row r="19" customFormat="false" ht="30" hidden="false" customHeight="true" outlineLevel="0" collapsed="false">
      <c r="A19" s="29" t="s">
        <v>66</v>
      </c>
      <c r="B19" s="29"/>
      <c r="C19" s="29"/>
      <c r="D19" s="29"/>
      <c r="E19" s="29"/>
      <c r="F19" s="29"/>
      <c r="G19" s="29"/>
      <c r="H19" s="29"/>
      <c r="I19" s="29"/>
      <c r="J19" s="29"/>
    </row>
    <row r="21" customFormat="false" ht="15" hidden="false" customHeight="false" outlineLevel="0" collapsed="false">
      <c r="A21" s="3" t="s">
        <v>67</v>
      </c>
      <c r="B21" s="4"/>
      <c r="C21" s="4"/>
      <c r="D21" s="4"/>
      <c r="E21" s="4"/>
      <c r="F21" s="4"/>
      <c r="G21" s="4"/>
      <c r="H21" s="4"/>
      <c r="I21" s="4"/>
      <c r="J21" s="4"/>
    </row>
    <row r="22" customFormat="false" ht="15" hidden="false" customHeight="false" outlineLevel="0" collapsed="false">
      <c r="A22" s="8" t="s">
        <v>68</v>
      </c>
      <c r="B22" s="22" t="n">
        <v>15</v>
      </c>
    </row>
    <row r="23" customFormat="false" ht="15" hidden="false" customHeight="false" outlineLevel="0" collapsed="false">
      <c r="A23" s="8" t="s">
        <v>69</v>
      </c>
      <c r="B23" s="22" t="n">
        <v>2</v>
      </c>
    </row>
    <row r="24" customFormat="false" ht="15" hidden="false" customHeight="false" outlineLevel="0" collapsed="false">
      <c r="A24" s="8" t="s">
        <v>70</v>
      </c>
      <c r="B24" s="24" t="n">
        <f aca="false">B22*B23</f>
        <v>30</v>
      </c>
    </row>
    <row r="25" customFormat="false" ht="15" hidden="false" customHeight="true" outlineLevel="0" collapsed="false">
      <c r="A25" s="8" t="s">
        <v>71</v>
      </c>
      <c r="B25" s="22" t="n">
        <v>45</v>
      </c>
      <c r="C25" s="29" t="s">
        <v>72</v>
      </c>
      <c r="D25" s="29"/>
      <c r="E25" s="29"/>
      <c r="F25" s="29"/>
      <c r="G25" s="29"/>
      <c r="H25" s="29"/>
      <c r="I25" s="29"/>
      <c r="J25" s="29"/>
    </row>
    <row r="26" customFormat="false" ht="15" hidden="false" customHeight="true" outlineLevel="0" collapsed="false">
      <c r="A26" s="8" t="s">
        <v>73</v>
      </c>
      <c r="B26" s="24" t="n">
        <f aca="false">B25-B24</f>
        <v>15</v>
      </c>
      <c r="C26" s="29" t="s">
        <v>74</v>
      </c>
      <c r="D26" s="29"/>
      <c r="E26" s="29"/>
      <c r="F26" s="29"/>
      <c r="G26" s="29"/>
      <c r="H26" s="29"/>
      <c r="I26" s="29"/>
      <c r="J26" s="29"/>
    </row>
    <row r="28" customFormat="false" ht="15" hidden="false" customHeight="false" outlineLevel="0" collapsed="false">
      <c r="A28" s="3" t="s">
        <v>75</v>
      </c>
      <c r="B28" s="4"/>
      <c r="C28" s="4"/>
      <c r="D28" s="4"/>
      <c r="E28" s="4"/>
      <c r="F28" s="4"/>
      <c r="G28" s="4"/>
      <c r="H28" s="4"/>
      <c r="I28" s="4"/>
      <c r="J28" s="4"/>
    </row>
    <row r="29" customFormat="false" ht="15" hidden="false" customHeight="true" outlineLevel="0" collapsed="false">
      <c r="A29" s="8" t="s">
        <v>76</v>
      </c>
      <c r="B29" s="30" t="n">
        <v>0.375</v>
      </c>
      <c r="C29" s="29" t="s">
        <v>77</v>
      </c>
      <c r="D29" s="29"/>
      <c r="E29" s="29"/>
      <c r="F29" s="29"/>
      <c r="G29" s="29"/>
      <c r="H29" s="29"/>
      <c r="I29" s="29"/>
      <c r="J29" s="29"/>
    </row>
    <row r="30" customFormat="false" ht="15" hidden="false" customHeight="true" outlineLevel="0" collapsed="false">
      <c r="A30" s="8" t="s">
        <v>78</v>
      </c>
      <c r="B30" s="30" t="n">
        <v>0.5</v>
      </c>
      <c r="C30" s="29" t="s">
        <v>79</v>
      </c>
      <c r="D30" s="29"/>
      <c r="E30" s="29"/>
      <c r="F30" s="29"/>
      <c r="G30" s="29"/>
      <c r="H30" s="29"/>
      <c r="I30" s="29"/>
      <c r="J30" s="29"/>
    </row>
    <row r="31" customFormat="false" ht="15" hidden="false" customHeight="false" outlineLevel="0" collapsed="false">
      <c r="A31" s="8" t="s">
        <v>80</v>
      </c>
      <c r="B31" s="23" t="n">
        <f aca="false">(B30-B29)*24</f>
        <v>3</v>
      </c>
    </row>
    <row r="32" customFormat="false" ht="15" hidden="false" customHeight="true" outlineLevel="0" collapsed="false">
      <c r="A32" s="8" t="s">
        <v>81</v>
      </c>
      <c r="B32" s="24" t="n">
        <f aca="false">INT(ROUND((B30-B29)*1440,0)/B25)</f>
        <v>4</v>
      </c>
      <c r="C32" s="29" t="s">
        <v>82</v>
      </c>
      <c r="D32" s="29"/>
      <c r="E32" s="29"/>
      <c r="F32" s="29"/>
      <c r="G32" s="29"/>
      <c r="H32" s="29"/>
      <c r="I32" s="29"/>
      <c r="J32" s="29"/>
    </row>
    <row r="33" customFormat="false" ht="15" hidden="false" customHeight="true" outlineLevel="0" collapsed="false">
      <c r="A33" s="8" t="s">
        <v>83</v>
      </c>
      <c r="B33" s="22" t="n">
        <v>8</v>
      </c>
      <c r="C33" s="29" t="s">
        <v>84</v>
      </c>
      <c r="D33" s="29"/>
      <c r="E33" s="29"/>
      <c r="F33" s="29"/>
      <c r="G33" s="29"/>
      <c r="H33" s="29"/>
      <c r="I33" s="29"/>
      <c r="J33" s="29"/>
    </row>
    <row r="34" customFormat="false" ht="15" hidden="false" customHeight="false" outlineLevel="0" collapsed="false">
      <c r="A34" s="8" t="s">
        <v>85</v>
      </c>
      <c r="B34" s="24" t="n">
        <f aca="false">B32*B33</f>
        <v>32</v>
      </c>
    </row>
    <row r="35" customFormat="false" ht="15" hidden="false" customHeight="false" outlineLevel="0" collapsed="false">
      <c r="A35" s="8" t="s">
        <v>86</v>
      </c>
      <c r="B35" s="24" t="n">
        <f aca="false">B32*B33</f>
        <v>32</v>
      </c>
    </row>
    <row r="36" customFormat="false" ht="15" hidden="false" customHeight="false" outlineLevel="0" collapsed="false">
      <c r="A36" s="8" t="s">
        <v>87</v>
      </c>
      <c r="B36" s="24" t="n">
        <f aca="false">G18</f>
        <v>30</v>
      </c>
    </row>
    <row r="37" customFormat="false" ht="15" hidden="false" customHeight="false" outlineLevel="0" collapsed="false">
      <c r="A37" s="8" t="s">
        <v>88</v>
      </c>
      <c r="B37" s="24" t="n">
        <f aca="false">H18</f>
        <v>10</v>
      </c>
    </row>
    <row r="38" customFormat="false" ht="15" hidden="false" customHeight="true" outlineLevel="0" collapsed="false">
      <c r="A38" s="8" t="s">
        <v>89</v>
      </c>
      <c r="B38" s="24" t="n">
        <f aca="false">IF(B32=0,0,ROUNDUP(B36/B32,0))</f>
        <v>8</v>
      </c>
      <c r="C38" s="29" t="s">
        <v>90</v>
      </c>
      <c r="D38" s="29"/>
      <c r="E38" s="29"/>
      <c r="F38" s="29"/>
      <c r="G38" s="29"/>
      <c r="H38" s="29"/>
      <c r="I38" s="29"/>
      <c r="J38" s="29"/>
    </row>
    <row r="39" customFormat="false" ht="15" hidden="false" customHeight="false" outlineLevel="0" collapsed="false">
      <c r="A39" s="8" t="s">
        <v>91</v>
      </c>
      <c r="B39" s="24" t="n">
        <f aca="false">IF(B32=0,0,ROUNDUP(B37/B32,0))</f>
        <v>3</v>
      </c>
    </row>
    <row r="40" customFormat="false" ht="15" hidden="false" customHeight="true" outlineLevel="0" collapsed="false">
      <c r="A40" s="8" t="s">
        <v>92</v>
      </c>
      <c r="B40" s="24" t="n">
        <f aca="false">IF(B33=0,0,ROUNDUP(B36/B33,0))</f>
        <v>4</v>
      </c>
      <c r="C40" s="29" t="s">
        <v>93</v>
      </c>
      <c r="D40" s="29"/>
      <c r="E40" s="29"/>
      <c r="F40" s="29"/>
      <c r="G40" s="29"/>
      <c r="H40" s="29"/>
      <c r="I40" s="29"/>
      <c r="J40" s="29"/>
    </row>
    <row r="41" customFormat="false" ht="15" hidden="false" customHeight="false" outlineLevel="0" collapsed="false">
      <c r="A41" s="8" t="s">
        <v>94</v>
      </c>
      <c r="B41" s="24" t="n">
        <f aca="false">IF(B33=0,0,ROUNDUP(B37/B33,0))</f>
        <v>2</v>
      </c>
    </row>
    <row r="42" customFormat="false" ht="15" hidden="false" customHeight="false" outlineLevel="0" collapsed="false">
      <c r="A42" s="8" t="s">
        <v>95</v>
      </c>
      <c r="B42" s="31" t="n">
        <f aca="false">B29+B40*B25/1440</f>
        <v>0.5</v>
      </c>
    </row>
    <row r="43" customFormat="false" ht="15" hidden="false" customHeight="true" outlineLevel="0" collapsed="false">
      <c r="A43" s="8" t="s">
        <v>96</v>
      </c>
      <c r="B43" s="31" t="n">
        <f aca="false">B29+B41*B25/1440</f>
        <v>0.4375</v>
      </c>
      <c r="C43" s="29" t="s">
        <v>97</v>
      </c>
      <c r="D43" s="29"/>
      <c r="E43" s="29"/>
      <c r="F43" s="29"/>
      <c r="G43" s="29"/>
      <c r="H43" s="29"/>
      <c r="I43" s="29"/>
      <c r="J43" s="29"/>
    </row>
    <row r="44" customFormat="false" ht="15" hidden="false" customHeight="false" outlineLevel="0" collapsed="false">
      <c r="A44" s="8" t="s">
        <v>98</v>
      </c>
      <c r="B44" s="32" t="n">
        <f aca="false">B40*B25/60</f>
        <v>3</v>
      </c>
    </row>
    <row r="45" customFormat="false" ht="15" hidden="false" customHeight="false" outlineLevel="0" collapsed="false">
      <c r="A45" s="8" t="s">
        <v>99</v>
      </c>
      <c r="B45" s="32" t="n">
        <f aca="false">B41*B25/60</f>
        <v>1.5</v>
      </c>
    </row>
    <row r="46" customFormat="false" ht="15" hidden="false" customHeight="false" outlineLevel="0" collapsed="false">
      <c r="A46" s="21" t="s">
        <v>100</v>
      </c>
      <c r="B46" s="21" t="str">
        <f aca="false">IF(AND(B34&gt;=B36,B35&gt;=B37),"OK: todo cabe en la jornada definida","NO CABE: sube canchas, alarga la jornada o reduce partidos")</f>
        <v>OK: todo cabe en la jornada definida</v>
      </c>
      <c r="C46" s="21"/>
      <c r="D46" s="21"/>
      <c r="E46" s="21"/>
      <c r="F46" s="21"/>
      <c r="G46" s="21"/>
      <c r="H46" s="21"/>
      <c r="I46" s="21"/>
      <c r="J46" s="21"/>
    </row>
    <row r="48" customFormat="false" ht="15" hidden="false" customHeight="false" outlineLevel="0" collapsed="false">
      <c r="A48" s="3" t="s">
        <v>101</v>
      </c>
      <c r="B48" s="4"/>
      <c r="C48" s="4"/>
      <c r="D48" s="4"/>
      <c r="E48" s="4"/>
      <c r="F48" s="4"/>
      <c r="G48" s="4"/>
      <c r="H48" s="4"/>
      <c r="I48" s="4"/>
      <c r="J48" s="4"/>
    </row>
    <row r="49" customFormat="false" ht="15" hidden="false" customHeight="true" outlineLevel="0" collapsed="false">
      <c r="A49" s="8" t="s">
        <v>102</v>
      </c>
      <c r="B49" s="22" t="n">
        <v>30</v>
      </c>
      <c r="C49" s="29" t="s">
        <v>103</v>
      </c>
      <c r="D49" s="29"/>
      <c r="E49" s="29"/>
      <c r="F49" s="29"/>
      <c r="G49" s="29"/>
      <c r="H49" s="29"/>
      <c r="I49" s="29"/>
      <c r="J49" s="29"/>
    </row>
    <row r="50" customFormat="false" ht="15" hidden="false" customHeight="true" outlineLevel="0" collapsed="false">
      <c r="A50" s="8" t="s">
        <v>104</v>
      </c>
      <c r="B50" s="22" t="n">
        <v>60</v>
      </c>
      <c r="C50" s="29" t="s">
        <v>105</v>
      </c>
      <c r="D50" s="29"/>
      <c r="E50" s="29"/>
      <c r="F50" s="29"/>
      <c r="G50" s="29"/>
      <c r="H50" s="29"/>
      <c r="I50" s="29"/>
      <c r="J50" s="29"/>
    </row>
    <row r="51" customFormat="false" ht="15" hidden="false" customHeight="false" outlineLevel="0" collapsed="false">
      <c r="A51" s="8" t="s">
        <v>106</v>
      </c>
      <c r="B51" s="22" t="n">
        <v>60</v>
      </c>
    </row>
    <row r="52" customFormat="false" ht="15" hidden="false" customHeight="true" outlineLevel="0" collapsed="false">
      <c r="A52" s="8" t="s">
        <v>107</v>
      </c>
      <c r="B52" s="22" t="n">
        <v>12</v>
      </c>
      <c r="C52" s="29" t="s">
        <v>108</v>
      </c>
      <c r="D52" s="29"/>
      <c r="E52" s="29"/>
      <c r="F52" s="29"/>
      <c r="G52" s="29"/>
      <c r="H52" s="29"/>
      <c r="I52" s="29"/>
      <c r="J52" s="29"/>
    </row>
    <row r="53" customFormat="false" ht="15" hidden="false" customHeight="false" outlineLevel="0" collapsed="false">
      <c r="A53" s="8" t="s">
        <v>109</v>
      </c>
      <c r="B53" s="22" t="n">
        <v>3</v>
      </c>
    </row>
    <row r="54" customFormat="false" ht="15" hidden="false" customHeight="true" outlineLevel="0" collapsed="false">
      <c r="A54" s="8" t="s">
        <v>110</v>
      </c>
      <c r="B54" s="22" t="n">
        <v>3</v>
      </c>
      <c r="C54" s="29" t="s">
        <v>111</v>
      </c>
      <c r="D54" s="29"/>
      <c r="E54" s="29"/>
      <c r="F54" s="29"/>
      <c r="G54" s="29"/>
      <c r="H54" s="29"/>
      <c r="I54" s="29"/>
      <c r="J54" s="29"/>
    </row>
    <row r="55" customFormat="false" ht="15" hidden="false" customHeight="false" outlineLevel="0" collapsed="false">
      <c r="A55" s="8" t="s">
        <v>112</v>
      </c>
      <c r="B55" s="22" t="n">
        <v>2</v>
      </c>
    </row>
    <row r="57" customFormat="false" ht="15" hidden="false" customHeight="false" outlineLevel="0" collapsed="false">
      <c r="A57" s="3" t="s">
        <v>113</v>
      </c>
      <c r="B57" s="4"/>
      <c r="C57" s="4"/>
      <c r="D57" s="4"/>
      <c r="E57" s="4"/>
      <c r="F57" s="4"/>
      <c r="G57" s="4"/>
      <c r="H57" s="4"/>
      <c r="I57" s="4"/>
      <c r="J57" s="4"/>
    </row>
    <row r="58" customFormat="false" ht="15" hidden="false" customHeight="false" outlineLevel="0" collapsed="false">
      <c r="A58" s="33" t="s">
        <v>114</v>
      </c>
      <c r="B58" s="33" t="s">
        <v>115</v>
      </c>
      <c r="C58" s="33" t="s">
        <v>116</v>
      </c>
      <c r="D58" s="33" t="s">
        <v>117</v>
      </c>
      <c r="E58" s="33" t="s">
        <v>118</v>
      </c>
    </row>
    <row r="59" customFormat="false" ht="15" hidden="false" customHeight="false" outlineLevel="0" collapsed="false">
      <c r="A59" s="34" t="n">
        <v>2</v>
      </c>
      <c r="B59" s="32" t="n">
        <f aca="false">ROUNDUP($G$18/A59,0)*$B$25/60</f>
        <v>11.25</v>
      </c>
      <c r="C59" s="32" t="n">
        <f aca="false">ROUNDUP($H$18/A59,0)*$B$25/60</f>
        <v>3.75</v>
      </c>
      <c r="D59" s="31" t="n">
        <f aca="false">$B$29+B59/24</f>
        <v>0.84375</v>
      </c>
      <c r="E59" s="31" t="n">
        <f aca="false">$B$29+C59/24</f>
        <v>0.53125</v>
      </c>
    </row>
    <row r="60" customFormat="false" ht="15" hidden="false" customHeight="false" outlineLevel="0" collapsed="false">
      <c r="A60" s="34" t="n">
        <v>3</v>
      </c>
      <c r="B60" s="32" t="n">
        <f aca="false">ROUNDUP($G$18/A60,0)*$B$25/60</f>
        <v>7.5</v>
      </c>
      <c r="C60" s="32" t="n">
        <f aca="false">ROUNDUP($H$18/A60,0)*$B$25/60</f>
        <v>3</v>
      </c>
      <c r="D60" s="31" t="n">
        <f aca="false">$B$29+B60/24</f>
        <v>0.6875</v>
      </c>
      <c r="E60" s="31" t="n">
        <f aca="false">$B$29+C60/24</f>
        <v>0.5</v>
      </c>
    </row>
    <row r="61" customFormat="false" ht="15" hidden="false" customHeight="false" outlineLevel="0" collapsed="false">
      <c r="A61" s="34" t="n">
        <v>4</v>
      </c>
      <c r="B61" s="32" t="n">
        <f aca="false">ROUNDUP($G$18/A61,0)*$B$25/60</f>
        <v>6</v>
      </c>
      <c r="C61" s="32" t="n">
        <f aca="false">ROUNDUP($H$18/A61,0)*$B$25/60</f>
        <v>2.25</v>
      </c>
      <c r="D61" s="31" t="n">
        <f aca="false">$B$29+B61/24</f>
        <v>0.625</v>
      </c>
      <c r="E61" s="31" t="n">
        <f aca="false">$B$29+C61/24</f>
        <v>0.46875</v>
      </c>
    </row>
    <row r="62" customFormat="false" ht="15" hidden="false" customHeight="false" outlineLevel="0" collapsed="false">
      <c r="A62" s="34" t="n">
        <v>5</v>
      </c>
      <c r="B62" s="32" t="n">
        <f aca="false">ROUNDUP($G$18/A62,0)*$B$25/60</f>
        <v>4.5</v>
      </c>
      <c r="C62" s="32" t="n">
        <f aca="false">ROUNDUP($H$18/A62,0)*$B$25/60</f>
        <v>1.5</v>
      </c>
      <c r="D62" s="31" t="n">
        <f aca="false">$B$29+B62/24</f>
        <v>0.5625</v>
      </c>
      <c r="E62" s="31" t="n">
        <f aca="false">$B$29+C62/24</f>
        <v>0.4375</v>
      </c>
    </row>
    <row r="63" customFormat="false" ht="15" hidden="false" customHeight="false" outlineLevel="0" collapsed="false">
      <c r="A63" s="34" t="n">
        <v>6</v>
      </c>
      <c r="B63" s="32" t="n">
        <f aca="false">ROUNDUP($G$18/A63,0)*$B$25/60</f>
        <v>3.75</v>
      </c>
      <c r="C63" s="32" t="n">
        <f aca="false">ROUNDUP($H$18/A63,0)*$B$25/60</f>
        <v>1.5</v>
      </c>
      <c r="D63" s="31" t="n">
        <f aca="false">$B$29+B63/24</f>
        <v>0.53125</v>
      </c>
      <c r="E63" s="31" t="n">
        <f aca="false">$B$29+C63/24</f>
        <v>0.4375</v>
      </c>
    </row>
    <row r="64" customFormat="false" ht="15" hidden="false" customHeight="false" outlineLevel="0" collapsed="false">
      <c r="A64" s="34" t="n">
        <v>7</v>
      </c>
      <c r="B64" s="32" t="n">
        <f aca="false">ROUNDUP($G$18/A64,0)*$B$25/60</f>
        <v>3.75</v>
      </c>
      <c r="C64" s="32" t="n">
        <f aca="false">ROUNDUP($H$18/A64,0)*$B$25/60</f>
        <v>1.5</v>
      </c>
      <c r="D64" s="31" t="n">
        <f aca="false">$B$29+B64/24</f>
        <v>0.53125</v>
      </c>
      <c r="E64" s="31" t="n">
        <f aca="false">$B$29+C64/24</f>
        <v>0.4375</v>
      </c>
    </row>
    <row r="65" customFormat="false" ht="15" hidden="false" customHeight="false" outlineLevel="0" collapsed="false">
      <c r="A65" s="34" t="n">
        <v>8</v>
      </c>
      <c r="B65" s="32" t="n">
        <f aca="false">ROUNDUP($G$18/A65,0)*$B$25/60</f>
        <v>3</v>
      </c>
      <c r="C65" s="32" t="n">
        <f aca="false">ROUNDUP($H$18/A65,0)*$B$25/60</f>
        <v>1.5</v>
      </c>
      <c r="D65" s="31" t="n">
        <f aca="false">$B$29+B65/24</f>
        <v>0.5</v>
      </c>
      <c r="E65" s="31" t="n">
        <f aca="false">$B$29+C65/24</f>
        <v>0.4375</v>
      </c>
    </row>
    <row r="66" customFormat="false" ht="15" hidden="false" customHeight="false" outlineLevel="0" collapsed="false">
      <c r="A66" s="34" t="n">
        <v>9</v>
      </c>
      <c r="B66" s="32" t="n">
        <f aca="false">ROUNDUP($G$18/A66,0)*$B$25/60</f>
        <v>3</v>
      </c>
      <c r="C66" s="32" t="n">
        <f aca="false">ROUNDUP($H$18/A66,0)*$B$25/60</f>
        <v>1.5</v>
      </c>
      <c r="D66" s="31" t="n">
        <f aca="false">$B$29+B66/24</f>
        <v>0.5</v>
      </c>
      <c r="E66" s="31" t="n">
        <f aca="false">$B$29+C66/24</f>
        <v>0.4375</v>
      </c>
    </row>
    <row r="67" customFormat="false" ht="15" hidden="false" customHeight="false" outlineLevel="0" collapsed="false">
      <c r="A67" s="34" t="n">
        <v>10</v>
      </c>
      <c r="B67" s="32" t="n">
        <f aca="false">ROUNDUP($G$18/A67,0)*$B$25/60</f>
        <v>2.25</v>
      </c>
      <c r="C67" s="32" t="n">
        <f aca="false">ROUNDUP($H$18/A67,0)*$B$25/60</f>
        <v>0.75</v>
      </c>
      <c r="D67" s="31" t="n">
        <f aca="false">$B$29+B67/24</f>
        <v>0.46875</v>
      </c>
      <c r="E67" s="31" t="n">
        <f aca="false">$B$29+C67/24</f>
        <v>0.40625</v>
      </c>
    </row>
    <row r="68" customFormat="false" ht="15" hidden="false" customHeight="true" outlineLevel="0" collapsed="false">
      <c r="A68" s="29" t="s">
        <v>119</v>
      </c>
      <c r="B68" s="29"/>
      <c r="C68" s="29"/>
      <c r="D68" s="29"/>
      <c r="E68" s="29"/>
      <c r="F68" s="29"/>
      <c r="G68" s="29"/>
      <c r="H68" s="29"/>
      <c r="I68" s="29"/>
      <c r="J68" s="29"/>
    </row>
  </sheetData>
  <mergeCells count="20">
    <mergeCell ref="A1:J1"/>
    <mergeCell ref="A2:J2"/>
    <mergeCell ref="B5:D5"/>
    <mergeCell ref="B8:D8"/>
    <mergeCell ref="A19:J19"/>
    <mergeCell ref="C25:J25"/>
    <mergeCell ref="C26:J26"/>
    <mergeCell ref="C29:J29"/>
    <mergeCell ref="C30:J30"/>
    <mergeCell ref="C32:J32"/>
    <mergeCell ref="C33:J33"/>
    <mergeCell ref="C38:J38"/>
    <mergeCell ref="C40:J40"/>
    <mergeCell ref="C43:J43"/>
    <mergeCell ref="B46:J46"/>
    <mergeCell ref="C49:J49"/>
    <mergeCell ref="C50:J50"/>
    <mergeCell ref="C52:J52"/>
    <mergeCell ref="C54:J54"/>
    <mergeCell ref="A68:J68"/>
  </mergeCells>
  <conditionalFormatting sqref="B46">
    <cfRule type="expression" priority="2" aboveAverage="0" equalAverage="0" bottom="0" percent="0" rank="0" text="" dxfId="0">
      <formula>LEFT($B$46,2)="OK"</formula>
    </cfRule>
    <cfRule type="expression" priority="3" aboveAverage="0" equalAverage="0" bottom="0" percent="0" rank="0" text="" dxfId="1">
      <formula>LEFT($B$46,2)&lt;&gt;"OK"</formula>
    </cfRule>
  </conditionalFormatting>
  <conditionalFormatting sqref="J13:J17">
    <cfRule type="expression" priority="4" aboveAverage="0" equalAverage="0" bottom="0" percent="0" rank="0" text="" dxfId="2">
      <formula>J13="Revisar"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&amp;CGOAT LEAGUE · Planificación · &amp;A · 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0"/>
    <col collapsed="false" customWidth="true" hidden="false" outlineLevel="0" max="13" min="4" style="0" width="16"/>
    <col collapsed="false" customWidth="true" hidden="false" outlineLevel="0" max="14" min="14" style="0" width="12"/>
  </cols>
  <sheetData>
    <row r="1" customFormat="false" ht="30" hidden="false" customHeight="true" outlineLevel="0" collapsed="false">
      <c r="A1" s="1" t="s">
        <v>120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7.75" hidden="false" customHeight="true" outlineLevel="0" collapsed="false">
      <c r="A2" s="2" t="s">
        <v>121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A4" s="3" t="s">
        <v>122</v>
      </c>
      <c r="B4" s="4"/>
      <c r="C4" s="4"/>
      <c r="D4" s="35" t="n">
        <f aca="false">Parametros!B6</f>
        <v>46333</v>
      </c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5" hidden="false" customHeight="false" outlineLevel="0" collapsed="false">
      <c r="A5" s="36" t="s">
        <v>123</v>
      </c>
      <c r="B5" s="36" t="s">
        <v>124</v>
      </c>
      <c r="C5" s="36" t="s">
        <v>125</v>
      </c>
      <c r="D5" s="36" t="str">
        <f aca="false">IF(1&lt;=Parametros!$B$33,"Cancha 1","")</f>
        <v>Cancha 1</v>
      </c>
      <c r="E5" s="36" t="str">
        <f aca="false">IF(2&lt;=Parametros!$B$33,"Cancha 2","")</f>
        <v>Cancha 2</v>
      </c>
      <c r="F5" s="36" t="str">
        <f aca="false">IF(3&lt;=Parametros!$B$33,"Cancha 3","")</f>
        <v>Cancha 3</v>
      </c>
      <c r="G5" s="36" t="str">
        <f aca="false">IF(4&lt;=Parametros!$B$33,"Cancha 4","")</f>
        <v>Cancha 4</v>
      </c>
      <c r="H5" s="36" t="str">
        <f aca="false">IF(5&lt;=Parametros!$B$33,"Cancha 5","")</f>
        <v>Cancha 5</v>
      </c>
      <c r="I5" s="36" t="str">
        <f aca="false">IF(6&lt;=Parametros!$B$33,"Cancha 6","")</f>
        <v>Cancha 6</v>
      </c>
      <c r="J5" s="36" t="str">
        <f aca="false">IF(7&lt;=Parametros!$B$33,"Cancha 7","")</f>
        <v>Cancha 7</v>
      </c>
      <c r="K5" s="36" t="str">
        <f aca="false">IF(8&lt;=Parametros!$B$33,"Cancha 8","")</f>
        <v>Cancha 8</v>
      </c>
      <c r="L5" s="36" t="str">
        <f aca="false">IF(9&lt;=Parametros!$B$33,"Cancha 9","")</f>
        <v/>
      </c>
      <c r="M5" s="36" t="str">
        <f aca="false">IF(10&lt;=Parametros!$B$33,"Cancha 10","")</f>
        <v/>
      </c>
      <c r="N5" s="36" t="s">
        <v>126</v>
      </c>
    </row>
    <row r="6" customFormat="false" ht="30" hidden="false" customHeight="true" outlineLevel="0" collapsed="false">
      <c r="A6" s="37" t="n">
        <v>1</v>
      </c>
      <c r="B6" s="38" t="n">
        <f aca="false">Parametros!$B$29+(1-1)*Parametros!$B$25/1440</f>
        <v>0.375</v>
      </c>
      <c r="C6" s="39" t="n">
        <f aca="false">B6+Parametros!$B$25/1440</f>
        <v>0.40625</v>
      </c>
      <c r="D6" s="40" t="str">
        <f aca="false">IF(1&gt;Parametros!$B$33,"—","")</f>
        <v/>
      </c>
      <c r="E6" s="40" t="str">
        <f aca="false">IF(2&gt;Parametros!$B$33,"—","")</f>
        <v/>
      </c>
      <c r="F6" s="40" t="str">
        <f aca="false">IF(3&gt;Parametros!$B$33,"—","")</f>
        <v/>
      </c>
      <c r="G6" s="40" t="str">
        <f aca="false">IF(4&gt;Parametros!$B$33,"—","")</f>
        <v/>
      </c>
      <c r="H6" s="40" t="str">
        <f aca="false">IF(5&gt;Parametros!$B$33,"—","")</f>
        <v/>
      </c>
      <c r="I6" s="40" t="str">
        <f aca="false">IF(6&gt;Parametros!$B$33,"—","")</f>
        <v/>
      </c>
      <c r="J6" s="40" t="str">
        <f aca="false">IF(7&gt;Parametros!$B$33,"—","")</f>
        <v/>
      </c>
      <c r="K6" s="40" t="str">
        <f aca="false">IF(8&gt;Parametros!$B$33,"—","")</f>
        <v/>
      </c>
      <c r="L6" s="40" t="str">
        <f aca="false">IF(9&gt;Parametros!$B$33,"—","")</f>
        <v>—</v>
      </c>
      <c r="M6" s="40" t="str">
        <f aca="false">IF(10&gt;Parametros!$B$33,"—","")</f>
        <v>—</v>
      </c>
      <c r="N6" s="25" t="str">
        <f aca="false">IF(1&lt;=Parametros!$B$40,"Sí","libre")</f>
        <v>Sí</v>
      </c>
    </row>
    <row r="7" customFormat="false" ht="30" hidden="false" customHeight="true" outlineLevel="0" collapsed="false">
      <c r="A7" s="37" t="n">
        <v>2</v>
      </c>
      <c r="B7" s="38" t="n">
        <f aca="false">Parametros!$B$29+(2-1)*Parametros!$B$25/1440</f>
        <v>0.40625</v>
      </c>
      <c r="C7" s="39" t="n">
        <f aca="false">B7+Parametros!$B$25/1440</f>
        <v>0.4375</v>
      </c>
      <c r="D7" s="40" t="str">
        <f aca="false">IF(1&gt;Parametros!$B$33,"—","")</f>
        <v/>
      </c>
      <c r="E7" s="40" t="str">
        <f aca="false">IF(2&gt;Parametros!$B$33,"—","")</f>
        <v/>
      </c>
      <c r="F7" s="40" t="str">
        <f aca="false">IF(3&gt;Parametros!$B$33,"—","")</f>
        <v/>
      </c>
      <c r="G7" s="40" t="str">
        <f aca="false">IF(4&gt;Parametros!$B$33,"—","")</f>
        <v/>
      </c>
      <c r="H7" s="40" t="str">
        <f aca="false">IF(5&gt;Parametros!$B$33,"—","")</f>
        <v/>
      </c>
      <c r="I7" s="40" t="str">
        <f aca="false">IF(6&gt;Parametros!$B$33,"—","")</f>
        <v/>
      </c>
      <c r="J7" s="40" t="str">
        <f aca="false">IF(7&gt;Parametros!$B$33,"—","")</f>
        <v/>
      </c>
      <c r="K7" s="40" t="str">
        <f aca="false">IF(8&gt;Parametros!$B$33,"—","")</f>
        <v/>
      </c>
      <c r="L7" s="40" t="str">
        <f aca="false">IF(9&gt;Parametros!$B$33,"—","")</f>
        <v>—</v>
      </c>
      <c r="M7" s="40" t="str">
        <f aca="false">IF(10&gt;Parametros!$B$33,"—","")</f>
        <v>—</v>
      </c>
      <c r="N7" s="25" t="str">
        <f aca="false">IF(2&lt;=Parametros!$B$40,"Sí","libre")</f>
        <v>Sí</v>
      </c>
    </row>
    <row r="8" customFormat="false" ht="30" hidden="false" customHeight="true" outlineLevel="0" collapsed="false">
      <c r="A8" s="37" t="n">
        <v>3</v>
      </c>
      <c r="B8" s="38" t="n">
        <f aca="false">Parametros!$B$29+(3-1)*Parametros!$B$25/1440</f>
        <v>0.4375</v>
      </c>
      <c r="C8" s="39" t="n">
        <f aca="false">B8+Parametros!$B$25/1440</f>
        <v>0.46875</v>
      </c>
      <c r="D8" s="40" t="str">
        <f aca="false">IF(1&gt;Parametros!$B$33,"—","")</f>
        <v/>
      </c>
      <c r="E8" s="40" t="str">
        <f aca="false">IF(2&gt;Parametros!$B$33,"—","")</f>
        <v/>
      </c>
      <c r="F8" s="40" t="str">
        <f aca="false">IF(3&gt;Parametros!$B$33,"—","")</f>
        <v/>
      </c>
      <c r="G8" s="40" t="str">
        <f aca="false">IF(4&gt;Parametros!$B$33,"—","")</f>
        <v/>
      </c>
      <c r="H8" s="40" t="str">
        <f aca="false">IF(5&gt;Parametros!$B$33,"—","")</f>
        <v/>
      </c>
      <c r="I8" s="40" t="str">
        <f aca="false">IF(6&gt;Parametros!$B$33,"—","")</f>
        <v/>
      </c>
      <c r="J8" s="40" t="str">
        <f aca="false">IF(7&gt;Parametros!$B$33,"—","")</f>
        <v/>
      </c>
      <c r="K8" s="40" t="str">
        <f aca="false">IF(8&gt;Parametros!$B$33,"—","")</f>
        <v/>
      </c>
      <c r="L8" s="40" t="str">
        <f aca="false">IF(9&gt;Parametros!$B$33,"—","")</f>
        <v>—</v>
      </c>
      <c r="M8" s="40" t="str">
        <f aca="false">IF(10&gt;Parametros!$B$33,"—","")</f>
        <v>—</v>
      </c>
      <c r="N8" s="25" t="str">
        <f aca="false">IF(3&lt;=Parametros!$B$40,"Sí","libre")</f>
        <v>Sí</v>
      </c>
    </row>
    <row r="9" customFormat="false" ht="30" hidden="false" customHeight="true" outlineLevel="0" collapsed="false">
      <c r="A9" s="37" t="n">
        <v>4</v>
      </c>
      <c r="B9" s="38" t="n">
        <f aca="false">Parametros!$B$29+(4-1)*Parametros!$B$25/1440</f>
        <v>0.46875</v>
      </c>
      <c r="C9" s="39" t="n">
        <f aca="false">B9+Parametros!$B$25/1440</f>
        <v>0.5</v>
      </c>
      <c r="D9" s="40" t="str">
        <f aca="false">IF(1&gt;Parametros!$B$33,"—","")</f>
        <v/>
      </c>
      <c r="E9" s="40" t="str">
        <f aca="false">IF(2&gt;Parametros!$B$33,"—","")</f>
        <v/>
      </c>
      <c r="F9" s="40" t="str">
        <f aca="false">IF(3&gt;Parametros!$B$33,"—","")</f>
        <v/>
      </c>
      <c r="G9" s="40" t="str">
        <f aca="false">IF(4&gt;Parametros!$B$33,"—","")</f>
        <v/>
      </c>
      <c r="H9" s="40" t="str">
        <f aca="false">IF(5&gt;Parametros!$B$33,"—","")</f>
        <v/>
      </c>
      <c r="I9" s="40" t="str">
        <f aca="false">IF(6&gt;Parametros!$B$33,"—","")</f>
        <v/>
      </c>
      <c r="J9" s="40" t="str">
        <f aca="false">IF(7&gt;Parametros!$B$33,"—","")</f>
        <v/>
      </c>
      <c r="K9" s="40" t="str">
        <f aca="false">IF(8&gt;Parametros!$B$33,"—","")</f>
        <v/>
      </c>
      <c r="L9" s="40" t="str">
        <f aca="false">IF(9&gt;Parametros!$B$33,"—","")</f>
        <v>—</v>
      </c>
      <c r="M9" s="40" t="str">
        <f aca="false">IF(10&gt;Parametros!$B$33,"—","")</f>
        <v>—</v>
      </c>
      <c r="N9" s="25" t="str">
        <f aca="false">IF(4&lt;=Parametros!$B$40,"Sí","libre")</f>
        <v>Sí</v>
      </c>
    </row>
    <row r="10" customFormat="false" ht="30" hidden="false" customHeight="true" outlineLevel="0" collapsed="false">
      <c r="A10" s="37" t="n">
        <v>5</v>
      </c>
      <c r="B10" s="38" t="n">
        <f aca="false">Parametros!$B$29+(5-1)*Parametros!$B$25/1440</f>
        <v>0.5</v>
      </c>
      <c r="C10" s="39" t="n">
        <f aca="false">B10+Parametros!$B$25/1440</f>
        <v>0.53125</v>
      </c>
      <c r="D10" s="40" t="str">
        <f aca="false">IF(1&gt;Parametros!$B$33,"—","")</f>
        <v/>
      </c>
      <c r="E10" s="40" t="str">
        <f aca="false">IF(2&gt;Parametros!$B$33,"—","")</f>
        <v/>
      </c>
      <c r="F10" s="40" t="str">
        <f aca="false">IF(3&gt;Parametros!$B$33,"—","")</f>
        <v/>
      </c>
      <c r="G10" s="40" t="str">
        <f aca="false">IF(4&gt;Parametros!$B$33,"—","")</f>
        <v/>
      </c>
      <c r="H10" s="40" t="str">
        <f aca="false">IF(5&gt;Parametros!$B$33,"—","")</f>
        <v/>
      </c>
      <c r="I10" s="40" t="str">
        <f aca="false">IF(6&gt;Parametros!$B$33,"—","")</f>
        <v/>
      </c>
      <c r="J10" s="40" t="str">
        <f aca="false">IF(7&gt;Parametros!$B$33,"—","")</f>
        <v/>
      </c>
      <c r="K10" s="40" t="str">
        <f aca="false">IF(8&gt;Parametros!$B$33,"—","")</f>
        <v/>
      </c>
      <c r="L10" s="40" t="str">
        <f aca="false">IF(9&gt;Parametros!$B$33,"—","")</f>
        <v>—</v>
      </c>
      <c r="M10" s="40" t="str">
        <f aca="false">IF(10&gt;Parametros!$B$33,"—","")</f>
        <v>—</v>
      </c>
      <c r="N10" s="25" t="str">
        <f aca="false">IF(5&lt;=Parametros!$B$40,"Sí","libre")</f>
        <v>libre</v>
      </c>
    </row>
    <row r="11" customFormat="false" ht="30" hidden="false" customHeight="true" outlineLevel="0" collapsed="false">
      <c r="A11" s="37" t="n">
        <v>6</v>
      </c>
      <c r="B11" s="38" t="n">
        <f aca="false">Parametros!$B$29+(6-1)*Parametros!$B$25/1440</f>
        <v>0.53125</v>
      </c>
      <c r="C11" s="39" t="n">
        <f aca="false">B11+Parametros!$B$25/1440</f>
        <v>0.5625</v>
      </c>
      <c r="D11" s="40" t="str">
        <f aca="false">IF(1&gt;Parametros!$B$33,"—","")</f>
        <v/>
      </c>
      <c r="E11" s="40" t="str">
        <f aca="false">IF(2&gt;Parametros!$B$33,"—","")</f>
        <v/>
      </c>
      <c r="F11" s="40" t="str">
        <f aca="false">IF(3&gt;Parametros!$B$33,"—","")</f>
        <v/>
      </c>
      <c r="G11" s="40" t="str">
        <f aca="false">IF(4&gt;Parametros!$B$33,"—","")</f>
        <v/>
      </c>
      <c r="H11" s="40" t="str">
        <f aca="false">IF(5&gt;Parametros!$B$33,"—","")</f>
        <v/>
      </c>
      <c r="I11" s="40" t="str">
        <f aca="false">IF(6&gt;Parametros!$B$33,"—","")</f>
        <v/>
      </c>
      <c r="J11" s="40" t="str">
        <f aca="false">IF(7&gt;Parametros!$B$33,"—","")</f>
        <v/>
      </c>
      <c r="K11" s="40" t="str">
        <f aca="false">IF(8&gt;Parametros!$B$33,"—","")</f>
        <v/>
      </c>
      <c r="L11" s="40" t="str">
        <f aca="false">IF(9&gt;Parametros!$B$33,"—","")</f>
        <v>—</v>
      </c>
      <c r="M11" s="40" t="str">
        <f aca="false">IF(10&gt;Parametros!$B$33,"—","")</f>
        <v>—</v>
      </c>
      <c r="N11" s="25" t="str">
        <f aca="false">IF(6&lt;=Parametros!$B$40,"Sí","libre")</f>
        <v>libre</v>
      </c>
    </row>
    <row r="12" customFormat="false" ht="30" hidden="false" customHeight="true" outlineLevel="0" collapsed="false">
      <c r="A12" s="37" t="n">
        <v>7</v>
      </c>
      <c r="B12" s="38" t="n">
        <f aca="false">Parametros!$B$29+(7-1)*Parametros!$B$25/1440</f>
        <v>0.5625</v>
      </c>
      <c r="C12" s="39" t="n">
        <f aca="false">B12+Parametros!$B$25/1440</f>
        <v>0.59375</v>
      </c>
      <c r="D12" s="40" t="str">
        <f aca="false">IF(1&gt;Parametros!$B$33,"—","")</f>
        <v/>
      </c>
      <c r="E12" s="40" t="str">
        <f aca="false">IF(2&gt;Parametros!$B$33,"—","")</f>
        <v/>
      </c>
      <c r="F12" s="40" t="str">
        <f aca="false">IF(3&gt;Parametros!$B$33,"—","")</f>
        <v/>
      </c>
      <c r="G12" s="40" t="str">
        <f aca="false">IF(4&gt;Parametros!$B$33,"—","")</f>
        <v/>
      </c>
      <c r="H12" s="40" t="str">
        <f aca="false">IF(5&gt;Parametros!$B$33,"—","")</f>
        <v/>
      </c>
      <c r="I12" s="40" t="str">
        <f aca="false">IF(6&gt;Parametros!$B$33,"—","")</f>
        <v/>
      </c>
      <c r="J12" s="40" t="str">
        <f aca="false">IF(7&gt;Parametros!$B$33,"—","")</f>
        <v/>
      </c>
      <c r="K12" s="40" t="str">
        <f aca="false">IF(8&gt;Parametros!$B$33,"—","")</f>
        <v/>
      </c>
      <c r="L12" s="40" t="str">
        <f aca="false">IF(9&gt;Parametros!$B$33,"—","")</f>
        <v>—</v>
      </c>
      <c r="M12" s="40" t="str">
        <f aca="false">IF(10&gt;Parametros!$B$33,"—","")</f>
        <v>—</v>
      </c>
      <c r="N12" s="25" t="str">
        <f aca="false">IF(7&lt;=Parametros!$B$40,"Sí","libre")</f>
        <v>libre</v>
      </c>
    </row>
    <row r="13" customFormat="false" ht="30" hidden="false" customHeight="true" outlineLevel="0" collapsed="false">
      <c r="A13" s="37" t="n">
        <v>8</v>
      </c>
      <c r="B13" s="38" t="n">
        <f aca="false">Parametros!$B$29+(8-1)*Parametros!$B$25/1440</f>
        <v>0.59375</v>
      </c>
      <c r="C13" s="39" t="n">
        <f aca="false">B13+Parametros!$B$25/1440</f>
        <v>0.625</v>
      </c>
      <c r="D13" s="40" t="str">
        <f aca="false">IF(1&gt;Parametros!$B$33,"—","")</f>
        <v/>
      </c>
      <c r="E13" s="40" t="str">
        <f aca="false">IF(2&gt;Parametros!$B$33,"—","")</f>
        <v/>
      </c>
      <c r="F13" s="40" t="str">
        <f aca="false">IF(3&gt;Parametros!$B$33,"—","")</f>
        <v/>
      </c>
      <c r="G13" s="40" t="str">
        <f aca="false">IF(4&gt;Parametros!$B$33,"—","")</f>
        <v/>
      </c>
      <c r="H13" s="40" t="str">
        <f aca="false">IF(5&gt;Parametros!$B$33,"—","")</f>
        <v/>
      </c>
      <c r="I13" s="40" t="str">
        <f aca="false">IF(6&gt;Parametros!$B$33,"—","")</f>
        <v/>
      </c>
      <c r="J13" s="40" t="str">
        <f aca="false">IF(7&gt;Parametros!$B$33,"—","")</f>
        <v/>
      </c>
      <c r="K13" s="40" t="str">
        <f aca="false">IF(8&gt;Parametros!$B$33,"—","")</f>
        <v/>
      </c>
      <c r="L13" s="40" t="str">
        <f aca="false">IF(9&gt;Parametros!$B$33,"—","")</f>
        <v>—</v>
      </c>
      <c r="M13" s="40" t="str">
        <f aca="false">IF(10&gt;Parametros!$B$33,"—","")</f>
        <v>—</v>
      </c>
      <c r="N13" s="25" t="str">
        <f aca="false">IF(8&lt;=Parametros!$B$40,"Sí","libre")</f>
        <v>libre</v>
      </c>
    </row>
    <row r="14" customFormat="false" ht="30" hidden="false" customHeight="true" outlineLevel="0" collapsed="false">
      <c r="A14" s="37" t="n">
        <v>9</v>
      </c>
      <c r="B14" s="38" t="n">
        <f aca="false">Parametros!$B$29+(9-1)*Parametros!$B$25/1440</f>
        <v>0.625</v>
      </c>
      <c r="C14" s="39" t="n">
        <f aca="false">B14+Parametros!$B$25/1440</f>
        <v>0.65625</v>
      </c>
      <c r="D14" s="40" t="str">
        <f aca="false">IF(1&gt;Parametros!$B$33,"—","")</f>
        <v/>
      </c>
      <c r="E14" s="40" t="str">
        <f aca="false">IF(2&gt;Parametros!$B$33,"—","")</f>
        <v/>
      </c>
      <c r="F14" s="40" t="str">
        <f aca="false">IF(3&gt;Parametros!$B$33,"—","")</f>
        <v/>
      </c>
      <c r="G14" s="40" t="str">
        <f aca="false">IF(4&gt;Parametros!$B$33,"—","")</f>
        <v/>
      </c>
      <c r="H14" s="40" t="str">
        <f aca="false">IF(5&gt;Parametros!$B$33,"—","")</f>
        <v/>
      </c>
      <c r="I14" s="40" t="str">
        <f aca="false">IF(6&gt;Parametros!$B$33,"—","")</f>
        <v/>
      </c>
      <c r="J14" s="40" t="str">
        <f aca="false">IF(7&gt;Parametros!$B$33,"—","")</f>
        <v/>
      </c>
      <c r="K14" s="40" t="str">
        <f aca="false">IF(8&gt;Parametros!$B$33,"—","")</f>
        <v/>
      </c>
      <c r="L14" s="40" t="str">
        <f aca="false">IF(9&gt;Parametros!$B$33,"—","")</f>
        <v>—</v>
      </c>
      <c r="M14" s="40" t="str">
        <f aca="false">IF(10&gt;Parametros!$B$33,"—","")</f>
        <v>—</v>
      </c>
      <c r="N14" s="25" t="str">
        <f aca="false">IF(9&lt;=Parametros!$B$40,"Sí","libre")</f>
        <v>libre</v>
      </c>
    </row>
    <row r="15" customFormat="false" ht="30" hidden="false" customHeight="true" outlineLevel="0" collapsed="false">
      <c r="A15" s="37" t="n">
        <v>10</v>
      </c>
      <c r="B15" s="38" t="n">
        <f aca="false">Parametros!$B$29+(10-1)*Parametros!$B$25/1440</f>
        <v>0.65625</v>
      </c>
      <c r="C15" s="39" t="n">
        <f aca="false">B15+Parametros!$B$25/1440</f>
        <v>0.6875</v>
      </c>
      <c r="D15" s="40" t="str">
        <f aca="false">IF(1&gt;Parametros!$B$33,"—","")</f>
        <v/>
      </c>
      <c r="E15" s="40" t="str">
        <f aca="false">IF(2&gt;Parametros!$B$33,"—","")</f>
        <v/>
      </c>
      <c r="F15" s="40" t="str">
        <f aca="false">IF(3&gt;Parametros!$B$33,"—","")</f>
        <v/>
      </c>
      <c r="G15" s="40" t="str">
        <f aca="false">IF(4&gt;Parametros!$B$33,"—","")</f>
        <v/>
      </c>
      <c r="H15" s="40" t="str">
        <f aca="false">IF(5&gt;Parametros!$B$33,"—","")</f>
        <v/>
      </c>
      <c r="I15" s="40" t="str">
        <f aca="false">IF(6&gt;Parametros!$B$33,"—","")</f>
        <v/>
      </c>
      <c r="J15" s="40" t="str">
        <f aca="false">IF(7&gt;Parametros!$B$33,"—","")</f>
        <v/>
      </c>
      <c r="K15" s="40" t="str">
        <f aca="false">IF(8&gt;Parametros!$B$33,"—","")</f>
        <v/>
      </c>
      <c r="L15" s="40" t="str">
        <f aca="false">IF(9&gt;Parametros!$B$33,"—","")</f>
        <v>—</v>
      </c>
      <c r="M15" s="40" t="str">
        <f aca="false">IF(10&gt;Parametros!$B$33,"—","")</f>
        <v>—</v>
      </c>
      <c r="N15" s="25" t="str">
        <f aca="false">IF(10&lt;=Parametros!$B$40,"Sí","libre")</f>
        <v>libre</v>
      </c>
    </row>
    <row r="16" customFormat="false" ht="30" hidden="false" customHeight="true" outlineLevel="0" collapsed="false">
      <c r="A16" s="37" t="n">
        <v>11</v>
      </c>
      <c r="B16" s="38" t="n">
        <f aca="false">Parametros!$B$29+(11-1)*Parametros!$B$25/1440</f>
        <v>0.6875</v>
      </c>
      <c r="C16" s="39" t="n">
        <f aca="false">B16+Parametros!$B$25/1440</f>
        <v>0.71875</v>
      </c>
      <c r="D16" s="40" t="str">
        <f aca="false">IF(1&gt;Parametros!$B$33,"—","")</f>
        <v/>
      </c>
      <c r="E16" s="40" t="str">
        <f aca="false">IF(2&gt;Parametros!$B$33,"—","")</f>
        <v/>
      </c>
      <c r="F16" s="40" t="str">
        <f aca="false">IF(3&gt;Parametros!$B$33,"—","")</f>
        <v/>
      </c>
      <c r="G16" s="40" t="str">
        <f aca="false">IF(4&gt;Parametros!$B$33,"—","")</f>
        <v/>
      </c>
      <c r="H16" s="40" t="str">
        <f aca="false">IF(5&gt;Parametros!$B$33,"—","")</f>
        <v/>
      </c>
      <c r="I16" s="40" t="str">
        <f aca="false">IF(6&gt;Parametros!$B$33,"—","")</f>
        <v/>
      </c>
      <c r="J16" s="40" t="str">
        <f aca="false">IF(7&gt;Parametros!$B$33,"—","")</f>
        <v/>
      </c>
      <c r="K16" s="40" t="str">
        <f aca="false">IF(8&gt;Parametros!$B$33,"—","")</f>
        <v/>
      </c>
      <c r="L16" s="40" t="str">
        <f aca="false">IF(9&gt;Parametros!$B$33,"—","")</f>
        <v>—</v>
      </c>
      <c r="M16" s="40" t="str">
        <f aca="false">IF(10&gt;Parametros!$B$33,"—","")</f>
        <v>—</v>
      </c>
      <c r="N16" s="25" t="str">
        <f aca="false">IF(11&lt;=Parametros!$B$40,"Sí","libre")</f>
        <v>libre</v>
      </c>
    </row>
    <row r="17" customFormat="false" ht="30" hidden="false" customHeight="true" outlineLevel="0" collapsed="false">
      <c r="A17" s="37" t="n">
        <v>12</v>
      </c>
      <c r="B17" s="38" t="n">
        <f aca="false">Parametros!$B$29+(12-1)*Parametros!$B$25/1440</f>
        <v>0.71875</v>
      </c>
      <c r="C17" s="39" t="n">
        <f aca="false">B17+Parametros!$B$25/1440</f>
        <v>0.75</v>
      </c>
      <c r="D17" s="40" t="str">
        <f aca="false">IF(1&gt;Parametros!$B$33,"—","")</f>
        <v/>
      </c>
      <c r="E17" s="40" t="str">
        <f aca="false">IF(2&gt;Parametros!$B$33,"—","")</f>
        <v/>
      </c>
      <c r="F17" s="40" t="str">
        <f aca="false">IF(3&gt;Parametros!$B$33,"—","")</f>
        <v/>
      </c>
      <c r="G17" s="40" t="str">
        <f aca="false">IF(4&gt;Parametros!$B$33,"—","")</f>
        <v/>
      </c>
      <c r="H17" s="40" t="str">
        <f aca="false">IF(5&gt;Parametros!$B$33,"—","")</f>
        <v/>
      </c>
      <c r="I17" s="40" t="str">
        <f aca="false">IF(6&gt;Parametros!$B$33,"—","")</f>
        <v/>
      </c>
      <c r="J17" s="40" t="str">
        <f aca="false">IF(7&gt;Parametros!$B$33,"—","")</f>
        <v/>
      </c>
      <c r="K17" s="40" t="str">
        <f aca="false">IF(8&gt;Parametros!$B$33,"—","")</f>
        <v/>
      </c>
      <c r="L17" s="40" t="str">
        <f aca="false">IF(9&gt;Parametros!$B$33,"—","")</f>
        <v>—</v>
      </c>
      <c r="M17" s="40" t="str">
        <f aca="false">IF(10&gt;Parametros!$B$33,"—","")</f>
        <v>—</v>
      </c>
      <c r="N17" s="25" t="str">
        <f aca="false">IF(12&lt;=Parametros!$B$40,"Sí","libre")</f>
        <v>libre</v>
      </c>
    </row>
    <row r="18" customFormat="false" ht="15" hidden="false" customHeight="false" outlineLevel="0" collapsed="false">
      <c r="A18" s="21" t="s">
        <v>127</v>
      </c>
      <c r="B18" s="21"/>
      <c r="C18" s="21"/>
      <c r="D18" s="41" t="n">
        <f aca="false">Parametros!B42</f>
        <v>0.5</v>
      </c>
    </row>
    <row r="20" customFormat="false" ht="15" hidden="false" customHeight="false" outlineLevel="0" collapsed="false">
      <c r="A20" s="3" t="s">
        <v>128</v>
      </c>
      <c r="B20" s="4"/>
      <c r="C20" s="4"/>
      <c r="D20" s="35" t="n">
        <f aca="false">Parametros!B7</f>
        <v>46334</v>
      </c>
      <c r="E20" s="4"/>
      <c r="F20" s="4"/>
      <c r="G20" s="4"/>
      <c r="H20" s="4"/>
      <c r="I20" s="4"/>
      <c r="J20" s="4"/>
      <c r="K20" s="4"/>
      <c r="L20" s="4"/>
      <c r="M20" s="4"/>
      <c r="N20" s="4"/>
    </row>
    <row r="21" customFormat="false" ht="15" hidden="false" customHeight="false" outlineLevel="0" collapsed="false">
      <c r="A21" s="36" t="s">
        <v>123</v>
      </c>
      <c r="B21" s="36" t="s">
        <v>124</v>
      </c>
      <c r="C21" s="36" t="s">
        <v>125</v>
      </c>
      <c r="D21" s="36" t="str">
        <f aca="false">IF(1&lt;=Parametros!$B$33,"Cancha 1","")</f>
        <v>Cancha 1</v>
      </c>
      <c r="E21" s="36" t="str">
        <f aca="false">IF(2&lt;=Parametros!$B$33,"Cancha 2","")</f>
        <v>Cancha 2</v>
      </c>
      <c r="F21" s="36" t="str">
        <f aca="false">IF(3&lt;=Parametros!$B$33,"Cancha 3","")</f>
        <v>Cancha 3</v>
      </c>
      <c r="G21" s="36" t="str">
        <f aca="false">IF(4&lt;=Parametros!$B$33,"Cancha 4","")</f>
        <v>Cancha 4</v>
      </c>
      <c r="H21" s="36" t="str">
        <f aca="false">IF(5&lt;=Parametros!$B$33,"Cancha 5","")</f>
        <v>Cancha 5</v>
      </c>
      <c r="I21" s="36" t="str">
        <f aca="false">IF(6&lt;=Parametros!$B$33,"Cancha 6","")</f>
        <v>Cancha 6</v>
      </c>
      <c r="J21" s="36" t="str">
        <f aca="false">IF(7&lt;=Parametros!$B$33,"Cancha 7","")</f>
        <v>Cancha 7</v>
      </c>
      <c r="K21" s="36" t="str">
        <f aca="false">IF(8&lt;=Parametros!$B$33,"Cancha 8","")</f>
        <v>Cancha 8</v>
      </c>
      <c r="L21" s="36" t="str">
        <f aca="false">IF(9&lt;=Parametros!$B$33,"Cancha 9","")</f>
        <v/>
      </c>
      <c r="M21" s="36" t="str">
        <f aca="false">IF(10&lt;=Parametros!$B$33,"Cancha 10","")</f>
        <v/>
      </c>
      <c r="N21" s="36" t="s">
        <v>126</v>
      </c>
    </row>
    <row r="22" customFormat="false" ht="30" hidden="false" customHeight="true" outlineLevel="0" collapsed="false">
      <c r="A22" s="37" t="n">
        <v>1</v>
      </c>
      <c r="B22" s="38" t="n">
        <f aca="false">Parametros!$B$29+(1-1)*Parametros!$B$25/1440</f>
        <v>0.375</v>
      </c>
      <c r="C22" s="39" t="n">
        <f aca="false">B22+Parametros!$B$25/1440</f>
        <v>0.40625</v>
      </c>
      <c r="D22" s="40" t="str">
        <f aca="false">IF(1&gt;Parametros!$B$33,"—","")</f>
        <v/>
      </c>
      <c r="E22" s="40" t="str">
        <f aca="false">IF(2&gt;Parametros!$B$33,"—","")</f>
        <v/>
      </c>
      <c r="F22" s="40" t="str">
        <f aca="false">IF(3&gt;Parametros!$B$33,"—","")</f>
        <v/>
      </c>
      <c r="G22" s="40" t="str">
        <f aca="false">IF(4&gt;Parametros!$B$33,"—","")</f>
        <v/>
      </c>
      <c r="H22" s="40" t="str">
        <f aca="false">IF(5&gt;Parametros!$B$33,"—","")</f>
        <v/>
      </c>
      <c r="I22" s="40" t="str">
        <f aca="false">IF(6&gt;Parametros!$B$33,"—","")</f>
        <v/>
      </c>
      <c r="J22" s="40" t="str">
        <f aca="false">IF(7&gt;Parametros!$B$33,"—","")</f>
        <v/>
      </c>
      <c r="K22" s="40" t="str">
        <f aca="false">IF(8&gt;Parametros!$B$33,"—","")</f>
        <v/>
      </c>
      <c r="L22" s="40" t="str">
        <f aca="false">IF(9&gt;Parametros!$B$33,"—","")</f>
        <v>—</v>
      </c>
      <c r="M22" s="40" t="str">
        <f aca="false">IF(10&gt;Parametros!$B$33,"—","")</f>
        <v>—</v>
      </c>
      <c r="N22" s="25" t="str">
        <f aca="false">IF(1&lt;=Parametros!$B$41,"Sí","libre")</f>
        <v>Sí</v>
      </c>
    </row>
    <row r="23" customFormat="false" ht="30" hidden="false" customHeight="true" outlineLevel="0" collapsed="false">
      <c r="A23" s="37" t="n">
        <v>2</v>
      </c>
      <c r="B23" s="38" t="n">
        <f aca="false">Parametros!$B$29+(2-1)*Parametros!$B$25/1440</f>
        <v>0.40625</v>
      </c>
      <c r="C23" s="39" t="n">
        <f aca="false">B23+Parametros!$B$25/1440</f>
        <v>0.4375</v>
      </c>
      <c r="D23" s="40" t="str">
        <f aca="false">IF(1&gt;Parametros!$B$33,"—","")</f>
        <v/>
      </c>
      <c r="E23" s="40" t="str">
        <f aca="false">IF(2&gt;Parametros!$B$33,"—","")</f>
        <v/>
      </c>
      <c r="F23" s="40" t="str">
        <f aca="false">IF(3&gt;Parametros!$B$33,"—","")</f>
        <v/>
      </c>
      <c r="G23" s="40" t="str">
        <f aca="false">IF(4&gt;Parametros!$B$33,"—","")</f>
        <v/>
      </c>
      <c r="H23" s="40" t="str">
        <f aca="false">IF(5&gt;Parametros!$B$33,"—","")</f>
        <v/>
      </c>
      <c r="I23" s="40" t="str">
        <f aca="false">IF(6&gt;Parametros!$B$33,"—","")</f>
        <v/>
      </c>
      <c r="J23" s="40" t="str">
        <f aca="false">IF(7&gt;Parametros!$B$33,"—","")</f>
        <v/>
      </c>
      <c r="K23" s="40" t="str">
        <f aca="false">IF(8&gt;Parametros!$B$33,"—","")</f>
        <v/>
      </c>
      <c r="L23" s="40" t="str">
        <f aca="false">IF(9&gt;Parametros!$B$33,"—","")</f>
        <v>—</v>
      </c>
      <c r="M23" s="40" t="str">
        <f aca="false">IF(10&gt;Parametros!$B$33,"—","")</f>
        <v>—</v>
      </c>
      <c r="N23" s="25" t="str">
        <f aca="false">IF(2&lt;=Parametros!$B$41,"Sí","libre")</f>
        <v>Sí</v>
      </c>
    </row>
    <row r="24" customFormat="false" ht="30" hidden="false" customHeight="true" outlineLevel="0" collapsed="false">
      <c r="A24" s="37" t="n">
        <v>3</v>
      </c>
      <c r="B24" s="38" t="n">
        <f aca="false">Parametros!$B$29+(3-1)*Parametros!$B$25/1440</f>
        <v>0.4375</v>
      </c>
      <c r="C24" s="39" t="n">
        <f aca="false">B24+Parametros!$B$25/1440</f>
        <v>0.46875</v>
      </c>
      <c r="D24" s="40" t="str">
        <f aca="false">IF(1&gt;Parametros!$B$33,"—","")</f>
        <v/>
      </c>
      <c r="E24" s="40" t="str">
        <f aca="false">IF(2&gt;Parametros!$B$33,"—","")</f>
        <v/>
      </c>
      <c r="F24" s="40" t="str">
        <f aca="false">IF(3&gt;Parametros!$B$33,"—","")</f>
        <v/>
      </c>
      <c r="G24" s="40" t="str">
        <f aca="false">IF(4&gt;Parametros!$B$33,"—","")</f>
        <v/>
      </c>
      <c r="H24" s="40" t="str">
        <f aca="false">IF(5&gt;Parametros!$B$33,"—","")</f>
        <v/>
      </c>
      <c r="I24" s="40" t="str">
        <f aca="false">IF(6&gt;Parametros!$B$33,"—","")</f>
        <v/>
      </c>
      <c r="J24" s="40" t="str">
        <f aca="false">IF(7&gt;Parametros!$B$33,"—","")</f>
        <v/>
      </c>
      <c r="K24" s="40" t="str">
        <f aca="false">IF(8&gt;Parametros!$B$33,"—","")</f>
        <v/>
      </c>
      <c r="L24" s="40" t="str">
        <f aca="false">IF(9&gt;Parametros!$B$33,"—","")</f>
        <v>—</v>
      </c>
      <c r="M24" s="40" t="str">
        <f aca="false">IF(10&gt;Parametros!$B$33,"—","")</f>
        <v>—</v>
      </c>
      <c r="N24" s="25" t="str">
        <f aca="false">IF(3&lt;=Parametros!$B$41,"Sí","libre")</f>
        <v>libre</v>
      </c>
    </row>
    <row r="25" customFormat="false" ht="30" hidden="false" customHeight="true" outlineLevel="0" collapsed="false">
      <c r="A25" s="37" t="n">
        <v>4</v>
      </c>
      <c r="B25" s="38" t="n">
        <f aca="false">Parametros!$B$29+(4-1)*Parametros!$B$25/1440</f>
        <v>0.46875</v>
      </c>
      <c r="C25" s="39" t="n">
        <f aca="false">B25+Parametros!$B$25/1440</f>
        <v>0.5</v>
      </c>
      <c r="D25" s="40" t="str">
        <f aca="false">IF(1&gt;Parametros!$B$33,"—","")</f>
        <v/>
      </c>
      <c r="E25" s="40" t="str">
        <f aca="false">IF(2&gt;Parametros!$B$33,"—","")</f>
        <v/>
      </c>
      <c r="F25" s="40" t="str">
        <f aca="false">IF(3&gt;Parametros!$B$33,"—","")</f>
        <v/>
      </c>
      <c r="G25" s="40" t="str">
        <f aca="false">IF(4&gt;Parametros!$B$33,"—","")</f>
        <v/>
      </c>
      <c r="H25" s="40" t="str">
        <f aca="false">IF(5&gt;Parametros!$B$33,"—","")</f>
        <v/>
      </c>
      <c r="I25" s="40" t="str">
        <f aca="false">IF(6&gt;Parametros!$B$33,"—","")</f>
        <v/>
      </c>
      <c r="J25" s="40" t="str">
        <f aca="false">IF(7&gt;Parametros!$B$33,"—","")</f>
        <v/>
      </c>
      <c r="K25" s="40" t="str">
        <f aca="false">IF(8&gt;Parametros!$B$33,"—","")</f>
        <v/>
      </c>
      <c r="L25" s="40" t="str">
        <f aca="false">IF(9&gt;Parametros!$B$33,"—","")</f>
        <v>—</v>
      </c>
      <c r="M25" s="40" t="str">
        <f aca="false">IF(10&gt;Parametros!$B$33,"—","")</f>
        <v>—</v>
      </c>
      <c r="N25" s="25" t="str">
        <f aca="false">IF(4&lt;=Parametros!$B$41,"Sí","libre")</f>
        <v>libre</v>
      </c>
    </row>
    <row r="26" customFormat="false" ht="30" hidden="false" customHeight="true" outlineLevel="0" collapsed="false">
      <c r="A26" s="37" t="n">
        <v>5</v>
      </c>
      <c r="B26" s="38" t="n">
        <f aca="false">Parametros!$B$29+(5-1)*Parametros!$B$25/1440</f>
        <v>0.5</v>
      </c>
      <c r="C26" s="39" t="n">
        <f aca="false">B26+Parametros!$B$25/1440</f>
        <v>0.53125</v>
      </c>
      <c r="D26" s="40" t="str">
        <f aca="false">IF(1&gt;Parametros!$B$33,"—","")</f>
        <v/>
      </c>
      <c r="E26" s="40" t="str">
        <f aca="false">IF(2&gt;Parametros!$B$33,"—","")</f>
        <v/>
      </c>
      <c r="F26" s="40" t="str">
        <f aca="false">IF(3&gt;Parametros!$B$33,"—","")</f>
        <v/>
      </c>
      <c r="G26" s="40" t="str">
        <f aca="false">IF(4&gt;Parametros!$B$33,"—","")</f>
        <v/>
      </c>
      <c r="H26" s="40" t="str">
        <f aca="false">IF(5&gt;Parametros!$B$33,"—","")</f>
        <v/>
      </c>
      <c r="I26" s="40" t="str">
        <f aca="false">IF(6&gt;Parametros!$B$33,"—","")</f>
        <v/>
      </c>
      <c r="J26" s="40" t="str">
        <f aca="false">IF(7&gt;Parametros!$B$33,"—","")</f>
        <v/>
      </c>
      <c r="K26" s="40" t="str">
        <f aca="false">IF(8&gt;Parametros!$B$33,"—","")</f>
        <v/>
      </c>
      <c r="L26" s="40" t="str">
        <f aca="false">IF(9&gt;Parametros!$B$33,"—","")</f>
        <v>—</v>
      </c>
      <c r="M26" s="40" t="str">
        <f aca="false">IF(10&gt;Parametros!$B$33,"—","")</f>
        <v>—</v>
      </c>
      <c r="N26" s="25" t="str">
        <f aca="false">IF(5&lt;=Parametros!$B$41,"Sí","libre")</f>
        <v>libre</v>
      </c>
    </row>
    <row r="27" customFormat="false" ht="30" hidden="false" customHeight="true" outlineLevel="0" collapsed="false">
      <c r="A27" s="37" t="n">
        <v>6</v>
      </c>
      <c r="B27" s="38" t="n">
        <f aca="false">Parametros!$B$29+(6-1)*Parametros!$B$25/1440</f>
        <v>0.53125</v>
      </c>
      <c r="C27" s="39" t="n">
        <f aca="false">B27+Parametros!$B$25/1440</f>
        <v>0.5625</v>
      </c>
      <c r="D27" s="40" t="str">
        <f aca="false">IF(1&gt;Parametros!$B$33,"—","")</f>
        <v/>
      </c>
      <c r="E27" s="40" t="str">
        <f aca="false">IF(2&gt;Parametros!$B$33,"—","")</f>
        <v/>
      </c>
      <c r="F27" s="40" t="str">
        <f aca="false">IF(3&gt;Parametros!$B$33,"—","")</f>
        <v/>
      </c>
      <c r="G27" s="40" t="str">
        <f aca="false">IF(4&gt;Parametros!$B$33,"—","")</f>
        <v/>
      </c>
      <c r="H27" s="40" t="str">
        <f aca="false">IF(5&gt;Parametros!$B$33,"—","")</f>
        <v/>
      </c>
      <c r="I27" s="40" t="str">
        <f aca="false">IF(6&gt;Parametros!$B$33,"—","")</f>
        <v/>
      </c>
      <c r="J27" s="40" t="str">
        <f aca="false">IF(7&gt;Parametros!$B$33,"—","")</f>
        <v/>
      </c>
      <c r="K27" s="40" t="str">
        <f aca="false">IF(8&gt;Parametros!$B$33,"—","")</f>
        <v/>
      </c>
      <c r="L27" s="40" t="str">
        <f aca="false">IF(9&gt;Parametros!$B$33,"—","")</f>
        <v>—</v>
      </c>
      <c r="M27" s="40" t="str">
        <f aca="false">IF(10&gt;Parametros!$B$33,"—","")</f>
        <v>—</v>
      </c>
      <c r="N27" s="25" t="str">
        <f aca="false">IF(6&lt;=Parametros!$B$41,"Sí","libre")</f>
        <v>libre</v>
      </c>
    </row>
    <row r="28" customFormat="false" ht="30" hidden="false" customHeight="true" outlineLevel="0" collapsed="false">
      <c r="A28" s="37" t="n">
        <v>7</v>
      </c>
      <c r="B28" s="38" t="n">
        <f aca="false">Parametros!$B$29+(7-1)*Parametros!$B$25/1440</f>
        <v>0.5625</v>
      </c>
      <c r="C28" s="39" t="n">
        <f aca="false">B28+Parametros!$B$25/1440</f>
        <v>0.59375</v>
      </c>
      <c r="D28" s="40" t="str">
        <f aca="false">IF(1&gt;Parametros!$B$33,"—","")</f>
        <v/>
      </c>
      <c r="E28" s="40" t="str">
        <f aca="false">IF(2&gt;Parametros!$B$33,"—","")</f>
        <v/>
      </c>
      <c r="F28" s="40" t="str">
        <f aca="false">IF(3&gt;Parametros!$B$33,"—","")</f>
        <v/>
      </c>
      <c r="G28" s="40" t="str">
        <f aca="false">IF(4&gt;Parametros!$B$33,"—","")</f>
        <v/>
      </c>
      <c r="H28" s="40" t="str">
        <f aca="false">IF(5&gt;Parametros!$B$33,"—","")</f>
        <v/>
      </c>
      <c r="I28" s="40" t="str">
        <f aca="false">IF(6&gt;Parametros!$B$33,"—","")</f>
        <v/>
      </c>
      <c r="J28" s="40" t="str">
        <f aca="false">IF(7&gt;Parametros!$B$33,"—","")</f>
        <v/>
      </c>
      <c r="K28" s="40" t="str">
        <f aca="false">IF(8&gt;Parametros!$B$33,"—","")</f>
        <v/>
      </c>
      <c r="L28" s="40" t="str">
        <f aca="false">IF(9&gt;Parametros!$B$33,"—","")</f>
        <v>—</v>
      </c>
      <c r="M28" s="40" t="str">
        <f aca="false">IF(10&gt;Parametros!$B$33,"—","")</f>
        <v>—</v>
      </c>
      <c r="N28" s="25" t="str">
        <f aca="false">IF(7&lt;=Parametros!$B$41,"Sí","libre")</f>
        <v>libre</v>
      </c>
    </row>
    <row r="29" customFormat="false" ht="30" hidden="false" customHeight="true" outlineLevel="0" collapsed="false">
      <c r="A29" s="37" t="n">
        <v>8</v>
      </c>
      <c r="B29" s="38" t="n">
        <f aca="false">Parametros!$B$29+(8-1)*Parametros!$B$25/1440</f>
        <v>0.59375</v>
      </c>
      <c r="C29" s="39" t="n">
        <f aca="false">B29+Parametros!$B$25/1440</f>
        <v>0.625</v>
      </c>
      <c r="D29" s="40" t="str">
        <f aca="false">IF(1&gt;Parametros!$B$33,"—","")</f>
        <v/>
      </c>
      <c r="E29" s="40" t="str">
        <f aca="false">IF(2&gt;Parametros!$B$33,"—","")</f>
        <v/>
      </c>
      <c r="F29" s="40" t="str">
        <f aca="false">IF(3&gt;Parametros!$B$33,"—","")</f>
        <v/>
      </c>
      <c r="G29" s="40" t="str">
        <f aca="false">IF(4&gt;Parametros!$B$33,"—","")</f>
        <v/>
      </c>
      <c r="H29" s="40" t="str">
        <f aca="false">IF(5&gt;Parametros!$B$33,"—","")</f>
        <v/>
      </c>
      <c r="I29" s="40" t="str">
        <f aca="false">IF(6&gt;Parametros!$B$33,"—","")</f>
        <v/>
      </c>
      <c r="J29" s="40" t="str">
        <f aca="false">IF(7&gt;Parametros!$B$33,"—","")</f>
        <v/>
      </c>
      <c r="K29" s="40" t="str">
        <f aca="false">IF(8&gt;Parametros!$B$33,"—","")</f>
        <v/>
      </c>
      <c r="L29" s="40" t="str">
        <f aca="false">IF(9&gt;Parametros!$B$33,"—","")</f>
        <v>—</v>
      </c>
      <c r="M29" s="40" t="str">
        <f aca="false">IF(10&gt;Parametros!$B$33,"—","")</f>
        <v>—</v>
      </c>
      <c r="N29" s="25" t="str">
        <f aca="false">IF(8&lt;=Parametros!$B$41,"Sí","libre")</f>
        <v>libre</v>
      </c>
    </row>
    <row r="30" customFormat="false" ht="30" hidden="false" customHeight="true" outlineLevel="0" collapsed="false">
      <c r="A30" s="37" t="n">
        <v>9</v>
      </c>
      <c r="B30" s="38" t="n">
        <f aca="false">Parametros!$B$29+(9-1)*Parametros!$B$25/1440</f>
        <v>0.625</v>
      </c>
      <c r="C30" s="39" t="n">
        <f aca="false">B30+Parametros!$B$25/1440</f>
        <v>0.65625</v>
      </c>
      <c r="D30" s="40" t="str">
        <f aca="false">IF(1&gt;Parametros!$B$33,"—","")</f>
        <v/>
      </c>
      <c r="E30" s="40" t="str">
        <f aca="false">IF(2&gt;Parametros!$B$33,"—","")</f>
        <v/>
      </c>
      <c r="F30" s="40" t="str">
        <f aca="false">IF(3&gt;Parametros!$B$33,"—","")</f>
        <v/>
      </c>
      <c r="G30" s="40" t="str">
        <f aca="false">IF(4&gt;Parametros!$B$33,"—","")</f>
        <v/>
      </c>
      <c r="H30" s="40" t="str">
        <f aca="false">IF(5&gt;Parametros!$B$33,"—","")</f>
        <v/>
      </c>
      <c r="I30" s="40" t="str">
        <f aca="false">IF(6&gt;Parametros!$B$33,"—","")</f>
        <v/>
      </c>
      <c r="J30" s="40" t="str">
        <f aca="false">IF(7&gt;Parametros!$B$33,"—","")</f>
        <v/>
      </c>
      <c r="K30" s="40" t="str">
        <f aca="false">IF(8&gt;Parametros!$B$33,"—","")</f>
        <v/>
      </c>
      <c r="L30" s="40" t="str">
        <f aca="false">IF(9&gt;Parametros!$B$33,"—","")</f>
        <v>—</v>
      </c>
      <c r="M30" s="40" t="str">
        <f aca="false">IF(10&gt;Parametros!$B$33,"—","")</f>
        <v>—</v>
      </c>
      <c r="N30" s="25" t="str">
        <f aca="false">IF(9&lt;=Parametros!$B$41,"Sí","libre")</f>
        <v>libre</v>
      </c>
    </row>
    <row r="31" customFormat="false" ht="30" hidden="false" customHeight="true" outlineLevel="0" collapsed="false">
      <c r="A31" s="37" t="n">
        <v>10</v>
      </c>
      <c r="B31" s="38" t="n">
        <f aca="false">Parametros!$B$29+(10-1)*Parametros!$B$25/1440</f>
        <v>0.65625</v>
      </c>
      <c r="C31" s="39" t="n">
        <f aca="false">B31+Parametros!$B$25/1440</f>
        <v>0.6875</v>
      </c>
      <c r="D31" s="40" t="str">
        <f aca="false">IF(1&gt;Parametros!$B$33,"—","")</f>
        <v/>
      </c>
      <c r="E31" s="40" t="str">
        <f aca="false">IF(2&gt;Parametros!$B$33,"—","")</f>
        <v/>
      </c>
      <c r="F31" s="40" t="str">
        <f aca="false">IF(3&gt;Parametros!$B$33,"—","")</f>
        <v/>
      </c>
      <c r="G31" s="40" t="str">
        <f aca="false">IF(4&gt;Parametros!$B$33,"—","")</f>
        <v/>
      </c>
      <c r="H31" s="40" t="str">
        <f aca="false">IF(5&gt;Parametros!$B$33,"—","")</f>
        <v/>
      </c>
      <c r="I31" s="40" t="str">
        <f aca="false">IF(6&gt;Parametros!$B$33,"—","")</f>
        <v/>
      </c>
      <c r="J31" s="40" t="str">
        <f aca="false">IF(7&gt;Parametros!$B$33,"—","")</f>
        <v/>
      </c>
      <c r="K31" s="40" t="str">
        <f aca="false">IF(8&gt;Parametros!$B$33,"—","")</f>
        <v/>
      </c>
      <c r="L31" s="40" t="str">
        <f aca="false">IF(9&gt;Parametros!$B$33,"—","")</f>
        <v>—</v>
      </c>
      <c r="M31" s="40" t="str">
        <f aca="false">IF(10&gt;Parametros!$B$33,"—","")</f>
        <v>—</v>
      </c>
      <c r="N31" s="25" t="str">
        <f aca="false">IF(10&lt;=Parametros!$B$41,"Sí","libre")</f>
        <v>libre</v>
      </c>
    </row>
    <row r="32" customFormat="false" ht="30" hidden="false" customHeight="true" outlineLevel="0" collapsed="false">
      <c r="A32" s="37" t="n">
        <v>11</v>
      </c>
      <c r="B32" s="38" t="n">
        <f aca="false">Parametros!$B$29+(11-1)*Parametros!$B$25/1440</f>
        <v>0.6875</v>
      </c>
      <c r="C32" s="39" t="n">
        <f aca="false">B32+Parametros!$B$25/1440</f>
        <v>0.71875</v>
      </c>
      <c r="D32" s="40" t="str">
        <f aca="false">IF(1&gt;Parametros!$B$33,"—","")</f>
        <v/>
      </c>
      <c r="E32" s="40" t="str">
        <f aca="false">IF(2&gt;Parametros!$B$33,"—","")</f>
        <v/>
      </c>
      <c r="F32" s="40" t="str">
        <f aca="false">IF(3&gt;Parametros!$B$33,"—","")</f>
        <v/>
      </c>
      <c r="G32" s="40" t="str">
        <f aca="false">IF(4&gt;Parametros!$B$33,"—","")</f>
        <v/>
      </c>
      <c r="H32" s="40" t="str">
        <f aca="false">IF(5&gt;Parametros!$B$33,"—","")</f>
        <v/>
      </c>
      <c r="I32" s="40" t="str">
        <f aca="false">IF(6&gt;Parametros!$B$33,"—","")</f>
        <v/>
      </c>
      <c r="J32" s="40" t="str">
        <f aca="false">IF(7&gt;Parametros!$B$33,"—","")</f>
        <v/>
      </c>
      <c r="K32" s="40" t="str">
        <f aca="false">IF(8&gt;Parametros!$B$33,"—","")</f>
        <v/>
      </c>
      <c r="L32" s="40" t="str">
        <f aca="false">IF(9&gt;Parametros!$B$33,"—","")</f>
        <v>—</v>
      </c>
      <c r="M32" s="40" t="str">
        <f aca="false">IF(10&gt;Parametros!$B$33,"—","")</f>
        <v>—</v>
      </c>
      <c r="N32" s="25" t="str">
        <f aca="false">IF(11&lt;=Parametros!$B$41,"Sí","libre")</f>
        <v>libre</v>
      </c>
    </row>
    <row r="33" customFormat="false" ht="30" hidden="false" customHeight="true" outlineLevel="0" collapsed="false">
      <c r="A33" s="37" t="n">
        <v>12</v>
      </c>
      <c r="B33" s="38" t="n">
        <f aca="false">Parametros!$B$29+(12-1)*Parametros!$B$25/1440</f>
        <v>0.71875</v>
      </c>
      <c r="C33" s="39" t="n">
        <f aca="false">B33+Parametros!$B$25/1440</f>
        <v>0.75</v>
      </c>
      <c r="D33" s="40" t="str">
        <f aca="false">IF(1&gt;Parametros!$B$33,"—","")</f>
        <v/>
      </c>
      <c r="E33" s="40" t="str">
        <f aca="false">IF(2&gt;Parametros!$B$33,"—","")</f>
        <v/>
      </c>
      <c r="F33" s="40" t="str">
        <f aca="false">IF(3&gt;Parametros!$B$33,"—","")</f>
        <v/>
      </c>
      <c r="G33" s="40" t="str">
        <f aca="false">IF(4&gt;Parametros!$B$33,"—","")</f>
        <v/>
      </c>
      <c r="H33" s="40" t="str">
        <f aca="false">IF(5&gt;Parametros!$B$33,"—","")</f>
        <v/>
      </c>
      <c r="I33" s="40" t="str">
        <f aca="false">IF(6&gt;Parametros!$B$33,"—","")</f>
        <v/>
      </c>
      <c r="J33" s="40" t="str">
        <f aca="false">IF(7&gt;Parametros!$B$33,"—","")</f>
        <v/>
      </c>
      <c r="K33" s="40" t="str">
        <f aca="false">IF(8&gt;Parametros!$B$33,"—","")</f>
        <v/>
      </c>
      <c r="L33" s="40" t="str">
        <f aca="false">IF(9&gt;Parametros!$B$33,"—","")</f>
        <v>—</v>
      </c>
      <c r="M33" s="40" t="str">
        <f aca="false">IF(10&gt;Parametros!$B$33,"—","")</f>
        <v>—</v>
      </c>
      <c r="N33" s="25" t="str">
        <f aca="false">IF(12&lt;=Parametros!$B$41,"Sí","libre")</f>
        <v>libre</v>
      </c>
    </row>
    <row r="34" customFormat="false" ht="15" hidden="false" customHeight="false" outlineLevel="0" collapsed="false">
      <c r="A34" s="21" t="s">
        <v>127</v>
      </c>
      <c r="B34" s="21"/>
      <c r="C34" s="21"/>
      <c r="D34" s="41" t="n">
        <f aca="false">Parametros!B43</f>
        <v>0.4375</v>
      </c>
    </row>
    <row r="35" customFormat="false" ht="15" hidden="false" customHeight="false" outlineLevel="0" collapsed="false">
      <c r="A35" s="21" t="s">
        <v>129</v>
      </c>
      <c r="B35" s="21"/>
      <c r="C35" s="21"/>
      <c r="D35" s="31" t="n">
        <f aca="false">D34</f>
        <v>0.4375</v>
      </c>
      <c r="E35" s="31" t="n">
        <f aca="false">D35+Parametros!B49/1440</f>
        <v>0.458333333333333</v>
      </c>
      <c r="F35" s="29" t="s">
        <v>130</v>
      </c>
    </row>
    <row r="37" customFormat="false" ht="30" hidden="false" customHeight="true" outlineLevel="0" collapsed="false">
      <c r="A37" s="29" t="s">
        <v>131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</row>
  </sheetData>
  <mergeCells count="6">
    <mergeCell ref="A1:N1"/>
    <mergeCell ref="A2:N2"/>
    <mergeCell ref="A18:C18"/>
    <mergeCell ref="A34:C34"/>
    <mergeCell ref="A35:C35"/>
    <mergeCell ref="A37:N37"/>
  </mergeCells>
  <conditionalFormatting sqref="A6:N17">
    <cfRule type="expression" priority="2" aboveAverage="0" equalAverage="0" bottom="0" percent="0" rank="0" text="" dxfId="3">
      <formula>$N6="libre"</formula>
    </cfRule>
  </conditionalFormatting>
  <conditionalFormatting sqref="A22:N33">
    <cfRule type="expression" priority="3" aboveAverage="0" equalAverage="0" bottom="0" percent="0" rank="0" text="" dxfId="3">
      <formula>$N22="libre"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&amp;CGOAT LEAGUE · Planificación · &amp;A · 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20"/>
    <col collapsed="false" customWidth="true" hidden="false" outlineLevel="0" max="4" min="4" style="0" width="50"/>
  </cols>
  <sheetData>
    <row r="1" customFormat="false" ht="30" hidden="false" customHeight="true" outlineLevel="0" collapsed="false">
      <c r="A1" s="1" t="s">
        <v>132</v>
      </c>
      <c r="B1" s="1"/>
      <c r="C1" s="1"/>
      <c r="D1" s="1"/>
    </row>
    <row r="2" customFormat="false" ht="27.75" hidden="false" customHeight="true" outlineLevel="0" collapsed="false">
      <c r="A2" s="2" t="s">
        <v>133</v>
      </c>
      <c r="B2" s="2"/>
      <c r="C2" s="2"/>
      <c r="D2" s="2"/>
    </row>
    <row r="4" customFormat="false" ht="15" hidden="false" customHeight="false" outlineLevel="0" collapsed="false">
      <c r="A4" s="10" t="s">
        <v>134</v>
      </c>
      <c r="B4" s="10" t="s">
        <v>135</v>
      </c>
      <c r="C4" s="10" t="s">
        <v>136</v>
      </c>
      <c r="D4" s="10" t="s">
        <v>23</v>
      </c>
    </row>
    <row r="5" customFormat="false" ht="15" hidden="false" customHeight="false" outlineLevel="0" collapsed="false">
      <c r="A5" s="8" t="s">
        <v>137</v>
      </c>
      <c r="B5" s="42" t="n">
        <f aca="false">Parametros!B33</f>
        <v>8</v>
      </c>
      <c r="C5" s="42" t="n">
        <f aca="false">Parametros!B33</f>
        <v>8</v>
      </c>
      <c r="D5" s="29"/>
    </row>
    <row r="6" customFormat="false" ht="15" hidden="false" customHeight="false" outlineLevel="0" collapsed="false">
      <c r="A6" s="8" t="s">
        <v>76</v>
      </c>
      <c r="B6" s="41" t="n">
        <f aca="false">Parametros!B29</f>
        <v>0.375</v>
      </c>
      <c r="C6" s="41" t="n">
        <f aca="false">Parametros!B29</f>
        <v>0.375</v>
      </c>
      <c r="D6" s="29"/>
    </row>
    <row r="7" customFormat="false" ht="15" hidden="false" customHeight="false" outlineLevel="0" collapsed="false">
      <c r="A7" s="8" t="s">
        <v>138</v>
      </c>
      <c r="B7" s="41" t="n">
        <f aca="false">Parametros!B42</f>
        <v>0.5</v>
      </c>
      <c r="C7" s="41" t="n">
        <f aca="false">Parametros!B43</f>
        <v>0.4375</v>
      </c>
      <c r="D7" s="29"/>
    </row>
    <row r="8" customFormat="false" ht="15" hidden="false" customHeight="false" outlineLevel="0" collapsed="false">
      <c r="A8" s="8" t="s">
        <v>102</v>
      </c>
      <c r="B8" s="24" t="n">
        <v>0</v>
      </c>
      <c r="C8" s="42" t="n">
        <f aca="false">Parametros!B49</f>
        <v>30</v>
      </c>
      <c r="D8" s="29" t="s">
        <v>139</v>
      </c>
    </row>
    <row r="9" customFormat="false" ht="15" hidden="false" customHeight="false" outlineLevel="0" collapsed="false">
      <c r="A9" s="8" t="s">
        <v>140</v>
      </c>
      <c r="B9" s="42" t="n">
        <f aca="false">Parametros!B50</f>
        <v>60</v>
      </c>
      <c r="C9" s="42" t="n">
        <f aca="false">Parametros!B50</f>
        <v>60</v>
      </c>
      <c r="D9" s="29"/>
    </row>
    <row r="10" customFormat="false" ht="15" hidden="false" customHeight="false" outlineLevel="0" collapsed="false">
      <c r="A10" s="8" t="s">
        <v>141</v>
      </c>
      <c r="B10" s="42" t="n">
        <f aca="false">Parametros!B51</f>
        <v>60</v>
      </c>
      <c r="C10" s="42" t="n">
        <f aca="false">Parametros!B51</f>
        <v>60</v>
      </c>
      <c r="D10" s="29"/>
    </row>
    <row r="11" customFormat="false" ht="15" hidden="false" customHeight="false" outlineLevel="0" collapsed="false">
      <c r="A11" s="8" t="s">
        <v>142</v>
      </c>
      <c r="B11" s="32" t="n">
        <f aca="false">ROUND(((B7-B6)*1440+B8+B9+B10)/60,2)</f>
        <v>5</v>
      </c>
      <c r="C11" s="32" t="n">
        <f aca="false">ROUND(((C7-C6)*1440+C8+C9+C10)/60,2)</f>
        <v>4</v>
      </c>
      <c r="D11" s="29" t="s">
        <v>143</v>
      </c>
    </row>
    <row r="12" customFormat="false" ht="15" hidden="false" customHeight="false" outlineLevel="0" collapsed="false">
      <c r="A12" s="8" t="s">
        <v>144</v>
      </c>
      <c r="B12" s="43"/>
      <c r="C12" s="43"/>
      <c r="D12" s="29" t="s">
        <v>145</v>
      </c>
    </row>
    <row r="13" customFormat="false" ht="22.35" hidden="false" customHeight="false" outlineLevel="0" collapsed="false">
      <c r="A13" s="8" t="s">
        <v>146</v>
      </c>
      <c r="B13" s="43"/>
      <c r="C13" s="43"/>
      <c r="D13" s="29" t="s">
        <v>147</v>
      </c>
    </row>
    <row r="14" customFormat="false" ht="15" hidden="false" customHeight="false" outlineLevel="0" collapsed="false">
      <c r="A14" s="26" t="s">
        <v>148</v>
      </c>
      <c r="B14" s="44" t="n">
        <f aca="false">IF(B13&gt;0,B5*B13,B5*B11*B12)</f>
        <v>0</v>
      </c>
      <c r="C14" s="44" t="n">
        <f aca="false">IF(C13&gt;0,C5*C13,C5*C11*C12)</f>
        <v>0</v>
      </c>
      <c r="D14" s="29"/>
    </row>
    <row r="15" customFormat="false" ht="15" hidden="false" customHeight="false" outlineLevel="0" collapsed="false">
      <c r="A15" s="26" t="s">
        <v>149</v>
      </c>
      <c r="B15" s="44" t="n">
        <f aca="false">B14+C14</f>
        <v>0</v>
      </c>
      <c r="C15" s="45"/>
    </row>
    <row r="17" customFormat="false" ht="27.75" hidden="false" customHeight="true" outlineLevel="0" collapsed="false">
      <c r="A17" s="46" t="s">
        <v>150</v>
      </c>
      <c r="B17" s="32" t="n">
        <f aca="false">B11-(B7-B6)*24</f>
        <v>2</v>
      </c>
      <c r="C17" s="32" t="n">
        <f aca="false">C11-(C7-C6)*24</f>
        <v>2.5</v>
      </c>
      <c r="D17" s="29" t="s">
        <v>151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4" right="0.4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&amp;CGOAT LEAGUE · Planificación · &amp;A · Página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18"/>
    <col collapsed="false" customWidth="true" hidden="false" outlineLevel="0" max="6" min="6" style="0" width="62"/>
  </cols>
  <sheetData>
    <row r="1" customFormat="false" ht="30" hidden="false" customHeight="true" outlineLevel="0" collapsed="false">
      <c r="A1" s="1" t="s">
        <v>152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153</v>
      </c>
      <c r="B2" s="2"/>
      <c r="C2" s="2"/>
      <c r="D2" s="2"/>
      <c r="E2" s="2"/>
      <c r="F2" s="2"/>
    </row>
    <row r="3" customFormat="false" ht="30" hidden="false" customHeight="true" outlineLevel="0" collapsed="false">
      <c r="A3" s="20" t="s">
        <v>18</v>
      </c>
      <c r="B3" s="20" t="s">
        <v>19</v>
      </c>
      <c r="C3" s="20" t="s">
        <v>20</v>
      </c>
      <c r="D3" s="20" t="s">
        <v>154</v>
      </c>
      <c r="E3" s="20" t="s">
        <v>155</v>
      </c>
      <c r="F3" s="20" t="s">
        <v>156</v>
      </c>
    </row>
    <row r="4" customFormat="false" ht="15" hidden="false" customHeight="false" outlineLevel="0" collapsed="false">
      <c r="A4" s="3" t="s">
        <v>157</v>
      </c>
      <c r="B4" s="4"/>
      <c r="C4" s="4"/>
      <c r="D4" s="4"/>
      <c r="E4" s="4"/>
      <c r="F4" s="4"/>
    </row>
    <row r="5" customFormat="false" ht="15" hidden="false" customHeight="false" outlineLevel="0" collapsed="false">
      <c r="A5" s="8" t="s">
        <v>158</v>
      </c>
      <c r="B5" s="8" t="s">
        <v>159</v>
      </c>
      <c r="C5" s="47" t="n">
        <v>1</v>
      </c>
      <c r="D5" s="8"/>
      <c r="E5" s="48" t="n">
        <f aca="false">Canchas!B14</f>
        <v>0</v>
      </c>
      <c r="F5" s="29" t="s">
        <v>160</v>
      </c>
    </row>
    <row r="6" customFormat="false" ht="15" hidden="false" customHeight="false" outlineLevel="0" collapsed="false">
      <c r="A6" s="8" t="s">
        <v>161</v>
      </c>
      <c r="B6" s="8" t="s">
        <v>159</v>
      </c>
      <c r="C6" s="47" t="n">
        <v>1</v>
      </c>
      <c r="D6" s="8"/>
      <c r="E6" s="48" t="n">
        <f aca="false">Canchas!C14</f>
        <v>0</v>
      </c>
      <c r="F6" s="29" t="s">
        <v>160</v>
      </c>
    </row>
    <row r="7" customFormat="false" ht="15" hidden="false" customHeight="false" outlineLevel="0" collapsed="false">
      <c r="A7" s="8" t="s">
        <v>162</v>
      </c>
      <c r="B7" s="8" t="s">
        <v>159</v>
      </c>
      <c r="C7" s="47" t="n">
        <v>2</v>
      </c>
      <c r="D7" s="43"/>
      <c r="E7" s="49" t="n">
        <f aca="false">C7*D7</f>
        <v>0</v>
      </c>
      <c r="F7" s="29"/>
    </row>
    <row r="8" customFormat="false" ht="15" hidden="false" customHeight="false" outlineLevel="0" collapsed="false">
      <c r="A8" s="26" t="s">
        <v>163</v>
      </c>
      <c r="B8" s="28"/>
      <c r="C8" s="28"/>
      <c r="D8" s="28"/>
      <c r="E8" s="44" t="n">
        <f aca="false">SUM(E5:E7)</f>
        <v>0</v>
      </c>
      <c r="F8" s="28"/>
    </row>
    <row r="10" customFormat="false" ht="15" hidden="false" customHeight="false" outlineLevel="0" collapsed="false">
      <c r="A10" s="3" t="s">
        <v>164</v>
      </c>
      <c r="B10" s="4"/>
      <c r="C10" s="4"/>
      <c r="D10" s="4"/>
      <c r="E10" s="4"/>
      <c r="F10" s="4"/>
    </row>
    <row r="11" customFormat="false" ht="15" hidden="false" customHeight="false" outlineLevel="0" collapsed="false">
      <c r="A11" s="8" t="s">
        <v>165</v>
      </c>
      <c r="B11" s="8" t="s">
        <v>25</v>
      </c>
      <c r="C11" s="47" t="n">
        <f aca="false">COUNTA(Parametros!$A$13:$A$17)</f>
        <v>5</v>
      </c>
      <c r="D11" s="43"/>
      <c r="E11" s="49" t="n">
        <f aca="false">C11*D11</f>
        <v>0</v>
      </c>
      <c r="F11" s="29" t="s">
        <v>166</v>
      </c>
    </row>
    <row r="12" customFormat="false" ht="15" hidden="false" customHeight="false" outlineLevel="0" collapsed="false">
      <c r="A12" s="8" t="s">
        <v>167</v>
      </c>
      <c r="B12" s="8" t="s">
        <v>25</v>
      </c>
      <c r="C12" s="47" t="n">
        <f aca="false">COUNTA(Parametros!$A$13:$A$17)</f>
        <v>5</v>
      </c>
      <c r="D12" s="43"/>
      <c r="E12" s="49" t="n">
        <f aca="false">C12*D12</f>
        <v>0</v>
      </c>
      <c r="F12" s="29" t="s">
        <v>166</v>
      </c>
    </row>
    <row r="13" customFormat="false" ht="15" hidden="false" customHeight="false" outlineLevel="0" collapsed="false">
      <c r="A13" s="8" t="s">
        <v>168</v>
      </c>
      <c r="B13" s="8" t="s">
        <v>25</v>
      </c>
      <c r="C13" s="47" t="n">
        <f aca="false">COUNTA(Parametros!$A$13:$A$17)</f>
        <v>5</v>
      </c>
      <c r="D13" s="43"/>
      <c r="E13" s="49" t="n">
        <f aca="false">C13*D13</f>
        <v>0</v>
      </c>
      <c r="F13" s="29" t="s">
        <v>166</v>
      </c>
    </row>
    <row r="14" customFormat="false" ht="15" hidden="false" customHeight="false" outlineLevel="0" collapsed="false">
      <c r="A14" s="8" t="s">
        <v>169</v>
      </c>
      <c r="B14" s="8" t="s">
        <v>25</v>
      </c>
      <c r="C14" s="47" t="n">
        <f aca="false">COUNTA(Parametros!$A$13:$A$17)*Parametros!$B$52</f>
        <v>60</v>
      </c>
      <c r="D14" s="43"/>
      <c r="E14" s="49" t="n">
        <f aca="false">C14*D14</f>
        <v>0</v>
      </c>
      <c r="F14" s="29" t="s">
        <v>170</v>
      </c>
    </row>
    <row r="15" customFormat="false" ht="15" hidden="false" customHeight="false" outlineLevel="0" collapsed="false">
      <c r="A15" s="8" t="s">
        <v>171</v>
      </c>
      <c r="B15" s="8" t="s">
        <v>25</v>
      </c>
      <c r="C15" s="47" t="n">
        <f aca="false">COUNTA(Parametros!$A$13:$A$17)*Parametros!$B$52</f>
        <v>60</v>
      </c>
      <c r="D15" s="43"/>
      <c r="E15" s="49" t="n">
        <f aca="false">C15*D15</f>
        <v>0</v>
      </c>
      <c r="F15" s="29" t="s">
        <v>172</v>
      </c>
    </row>
    <row r="16" customFormat="false" ht="15" hidden="false" customHeight="false" outlineLevel="0" collapsed="false">
      <c r="A16" s="8" t="s">
        <v>173</v>
      </c>
      <c r="B16" s="8" t="s">
        <v>25</v>
      </c>
      <c r="C16" s="47" t="n">
        <f aca="false">COUNTA(Parametros!$A$13:$A$17)*Parametros!$B$52</f>
        <v>60</v>
      </c>
      <c r="D16" s="43"/>
      <c r="E16" s="49" t="n">
        <f aca="false">C16*D16</f>
        <v>0</v>
      </c>
      <c r="F16" s="29" t="s">
        <v>172</v>
      </c>
    </row>
    <row r="17" customFormat="false" ht="15" hidden="false" customHeight="false" outlineLevel="0" collapsed="false">
      <c r="A17" s="8" t="s">
        <v>174</v>
      </c>
      <c r="B17" s="8" t="s">
        <v>25</v>
      </c>
      <c r="C17" s="47" t="n">
        <f aca="false">COUNTA(Parametros!$A$13:$A$17)</f>
        <v>5</v>
      </c>
      <c r="D17" s="43"/>
      <c r="E17" s="49" t="n">
        <f aca="false">C17*D17</f>
        <v>0</v>
      </c>
      <c r="F17" s="29" t="s">
        <v>175</v>
      </c>
    </row>
    <row r="18" customFormat="false" ht="15" hidden="false" customHeight="false" outlineLevel="0" collapsed="false">
      <c r="A18" s="8" t="s">
        <v>176</v>
      </c>
      <c r="B18" s="8" t="s">
        <v>25</v>
      </c>
      <c r="C18" s="47" t="n">
        <f aca="false">COUNTA(Parametros!$A$13:$A$17)</f>
        <v>5</v>
      </c>
      <c r="D18" s="43"/>
      <c r="E18" s="49" t="n">
        <f aca="false">C18*D18</f>
        <v>0</v>
      </c>
      <c r="F18" s="29" t="s">
        <v>175</v>
      </c>
    </row>
    <row r="19" customFormat="false" ht="15" hidden="false" customHeight="false" outlineLevel="0" collapsed="false">
      <c r="A19" s="8" t="s">
        <v>177</v>
      </c>
      <c r="B19" s="8" t="s">
        <v>25</v>
      </c>
      <c r="C19" s="47" t="n">
        <f aca="false">COUNTA(Parametros!$A$13:$A$17)</f>
        <v>5</v>
      </c>
      <c r="D19" s="43"/>
      <c r="E19" s="49" t="n">
        <f aca="false">C19*D19</f>
        <v>0</v>
      </c>
      <c r="F19" s="29" t="s">
        <v>175</v>
      </c>
    </row>
    <row r="20" customFormat="false" ht="15" hidden="false" customHeight="false" outlineLevel="0" collapsed="false">
      <c r="A20" s="8" t="s">
        <v>178</v>
      </c>
      <c r="B20" s="8" t="s">
        <v>25</v>
      </c>
      <c r="C20" s="47" t="n">
        <f aca="false">MAX(0,Parametros!$F$18-COUNTA(Parametros!$A$13:$A$17)*Parametros!$B$52*3)</f>
        <v>60</v>
      </c>
      <c r="D20" s="43"/>
      <c r="E20" s="49" t="n">
        <f aca="false">C20*D20</f>
        <v>0</v>
      </c>
      <c r="F20" s="29" t="s">
        <v>179</v>
      </c>
    </row>
    <row r="21" customFormat="false" ht="15" hidden="false" customHeight="false" outlineLevel="0" collapsed="false">
      <c r="A21" s="8" t="s">
        <v>180</v>
      </c>
      <c r="B21" s="8" t="s">
        <v>25</v>
      </c>
      <c r="C21" s="47" t="n">
        <v>1</v>
      </c>
      <c r="D21" s="43"/>
      <c r="E21" s="49" t="n">
        <f aca="false">C21*D21</f>
        <v>0</v>
      </c>
      <c r="F21" s="29" t="s">
        <v>181</v>
      </c>
    </row>
    <row r="22" customFormat="false" ht="15" hidden="false" customHeight="false" outlineLevel="0" collapsed="false">
      <c r="A22" s="8" t="s">
        <v>182</v>
      </c>
      <c r="B22" s="8" t="s">
        <v>25</v>
      </c>
      <c r="C22" s="47" t="n">
        <v>1</v>
      </c>
      <c r="D22" s="43"/>
      <c r="E22" s="49" t="n">
        <f aca="false">C22*D22</f>
        <v>0</v>
      </c>
      <c r="F22" s="29"/>
    </row>
    <row r="23" customFormat="false" ht="15" hidden="false" customHeight="false" outlineLevel="0" collapsed="false">
      <c r="A23" s="26" t="s">
        <v>183</v>
      </c>
      <c r="B23" s="28"/>
      <c r="C23" s="28"/>
      <c r="D23" s="28"/>
      <c r="E23" s="44" t="n">
        <f aca="false">SUM(E11:E22)</f>
        <v>0</v>
      </c>
      <c r="F23" s="28"/>
    </row>
    <row r="25" customFormat="false" ht="15" hidden="false" customHeight="false" outlineLevel="0" collapsed="false">
      <c r="A25" s="3" t="s">
        <v>184</v>
      </c>
      <c r="B25" s="4"/>
      <c r="C25" s="4"/>
      <c r="D25" s="4"/>
      <c r="E25" s="4"/>
      <c r="F25" s="4"/>
    </row>
    <row r="26" customFormat="false" ht="15" hidden="false" customHeight="false" outlineLevel="0" collapsed="false">
      <c r="A26" s="8" t="s">
        <v>185</v>
      </c>
      <c r="B26" s="8" t="s">
        <v>25</v>
      </c>
      <c r="C26" s="47" t="n">
        <f aca="false">Parametros!$B$33+1</f>
        <v>9</v>
      </c>
      <c r="D26" s="43"/>
      <c r="E26" s="49" t="n">
        <f aca="false">C26*D26</f>
        <v>0</v>
      </c>
      <c r="F26" s="29" t="s">
        <v>186</v>
      </c>
    </row>
    <row r="27" customFormat="false" ht="15" hidden="false" customHeight="false" outlineLevel="0" collapsed="false">
      <c r="A27" s="8" t="s">
        <v>187</v>
      </c>
      <c r="B27" s="8" t="s">
        <v>25</v>
      </c>
      <c r="C27" s="47" t="n">
        <f aca="false">Parametros!$B$33+1</f>
        <v>9</v>
      </c>
      <c r="D27" s="43"/>
      <c r="E27" s="49" t="n">
        <f aca="false">C27*D27</f>
        <v>0</v>
      </c>
      <c r="F27" s="29" t="s">
        <v>186</v>
      </c>
    </row>
    <row r="28" customFormat="false" ht="15" hidden="false" customHeight="false" outlineLevel="0" collapsed="false">
      <c r="A28" s="8" t="s">
        <v>188</v>
      </c>
      <c r="B28" s="8" t="s">
        <v>25</v>
      </c>
      <c r="C28" s="47" t="n">
        <f aca="false">Parametros!$B$33+1</f>
        <v>9</v>
      </c>
      <c r="D28" s="43"/>
      <c r="E28" s="49" t="n">
        <f aca="false">C28*D28</f>
        <v>0</v>
      </c>
      <c r="F28" s="29" t="s">
        <v>186</v>
      </c>
    </row>
    <row r="29" customFormat="false" ht="15" hidden="false" customHeight="false" outlineLevel="0" collapsed="false">
      <c r="A29" s="8" t="s">
        <v>189</v>
      </c>
      <c r="B29" s="8" t="s">
        <v>25</v>
      </c>
      <c r="C29" s="47" t="n">
        <f aca="false">Parametros!$B$33*16</f>
        <v>128</v>
      </c>
      <c r="D29" s="43"/>
      <c r="E29" s="49" t="n">
        <f aca="false">C29*D29</f>
        <v>0</v>
      </c>
      <c r="F29" s="29" t="s">
        <v>190</v>
      </c>
    </row>
    <row r="30" customFormat="false" ht="15" hidden="false" customHeight="false" outlineLevel="0" collapsed="false">
      <c r="A30" s="8" t="s">
        <v>191</v>
      </c>
      <c r="B30" s="8" t="s">
        <v>192</v>
      </c>
      <c r="C30" s="47" t="n">
        <f aca="false">Parametros!$B$33</f>
        <v>8</v>
      </c>
      <c r="D30" s="43"/>
      <c r="E30" s="49" t="n">
        <f aca="false">C30*D30</f>
        <v>0</v>
      </c>
      <c r="F30" s="29" t="s">
        <v>193</v>
      </c>
    </row>
    <row r="31" customFormat="false" ht="15" hidden="false" customHeight="false" outlineLevel="0" collapsed="false">
      <c r="A31" s="8" t="s">
        <v>194</v>
      </c>
      <c r="B31" s="8" t="s">
        <v>25</v>
      </c>
      <c r="C31" s="47" t="n">
        <f aca="false">Parametros!$B$33*2</f>
        <v>16</v>
      </c>
      <c r="D31" s="43"/>
      <c r="E31" s="49" t="n">
        <f aca="false">C31*D31</f>
        <v>0</v>
      </c>
      <c r="F31" s="29" t="s">
        <v>195</v>
      </c>
    </row>
    <row r="32" customFormat="false" ht="15" hidden="false" customHeight="false" outlineLevel="0" collapsed="false">
      <c r="A32" s="8" t="s">
        <v>196</v>
      </c>
      <c r="B32" s="8" t="s">
        <v>25</v>
      </c>
      <c r="C32" s="47" t="n">
        <v>4</v>
      </c>
      <c r="D32" s="43"/>
      <c r="E32" s="49" t="n">
        <f aca="false">C32*D32</f>
        <v>0</v>
      </c>
      <c r="F32" s="29"/>
    </row>
    <row r="33" customFormat="false" ht="15" hidden="false" customHeight="false" outlineLevel="0" collapsed="false">
      <c r="A33" s="8" t="s">
        <v>197</v>
      </c>
      <c r="B33" s="8" t="s">
        <v>198</v>
      </c>
      <c r="C33" s="47" t="n">
        <f aca="false">Parametros!$B$33</f>
        <v>8</v>
      </c>
      <c r="D33" s="43"/>
      <c r="E33" s="49" t="n">
        <f aca="false">C33*D33</f>
        <v>0</v>
      </c>
      <c r="F33" s="29" t="s">
        <v>199</v>
      </c>
    </row>
    <row r="34" customFormat="false" ht="15" hidden="false" customHeight="false" outlineLevel="0" collapsed="false">
      <c r="A34" s="8" t="s">
        <v>200</v>
      </c>
      <c r="B34" s="8" t="s">
        <v>192</v>
      </c>
      <c r="C34" s="47" t="n">
        <v>2</v>
      </c>
      <c r="D34" s="43"/>
      <c r="E34" s="49" t="n">
        <f aca="false">C34*D34</f>
        <v>0</v>
      </c>
      <c r="F34" s="29"/>
    </row>
    <row r="35" customFormat="false" ht="15" hidden="false" customHeight="false" outlineLevel="0" collapsed="false">
      <c r="A35" s="26" t="s">
        <v>201</v>
      </c>
      <c r="B35" s="28"/>
      <c r="C35" s="28"/>
      <c r="D35" s="28"/>
      <c r="E35" s="44" t="n">
        <f aca="false">SUM(E26:E34)</f>
        <v>0</v>
      </c>
      <c r="F35" s="28"/>
    </row>
    <row r="37" customFormat="false" ht="15" hidden="false" customHeight="false" outlineLevel="0" collapsed="false">
      <c r="A37" s="3" t="s">
        <v>202</v>
      </c>
      <c r="B37" s="4"/>
      <c r="C37" s="4"/>
      <c r="D37" s="4"/>
      <c r="E37" s="4"/>
      <c r="F37" s="4"/>
    </row>
    <row r="38" customFormat="false" ht="15" hidden="false" customHeight="false" outlineLevel="0" collapsed="false">
      <c r="A38" s="8" t="s">
        <v>203</v>
      </c>
      <c r="B38" s="8" t="s">
        <v>204</v>
      </c>
      <c r="C38" s="47" t="n">
        <f aca="false">Parametros!$B$33*Parametros!$B$55</f>
        <v>16</v>
      </c>
      <c r="D38" s="43"/>
      <c r="E38" s="49" t="n">
        <f aca="false">C38*D38</f>
        <v>0</v>
      </c>
      <c r="F38" s="29" t="s">
        <v>205</v>
      </c>
    </row>
    <row r="39" customFormat="false" ht="15" hidden="false" customHeight="false" outlineLevel="0" collapsed="false">
      <c r="A39" s="8" t="s">
        <v>206</v>
      </c>
      <c r="B39" s="8" t="s">
        <v>204</v>
      </c>
      <c r="C39" s="47" t="n">
        <v>0</v>
      </c>
      <c r="D39" s="43"/>
      <c r="E39" s="49" t="n">
        <f aca="false">C39*D39</f>
        <v>0</v>
      </c>
      <c r="F39" s="29" t="s">
        <v>181</v>
      </c>
    </row>
    <row r="40" customFormat="false" ht="22.35" hidden="false" customHeight="false" outlineLevel="0" collapsed="false">
      <c r="A40" s="8" t="s">
        <v>207</v>
      </c>
      <c r="B40" s="8" t="s">
        <v>208</v>
      </c>
      <c r="C40" s="47" t="n">
        <v>0</v>
      </c>
      <c r="D40" s="43"/>
      <c r="E40" s="49" t="n">
        <f aca="false">C40*D40</f>
        <v>0</v>
      </c>
      <c r="F40" s="29" t="s">
        <v>209</v>
      </c>
    </row>
    <row r="41" customFormat="false" ht="15" hidden="false" customHeight="false" outlineLevel="0" collapsed="false">
      <c r="A41" s="8" t="s">
        <v>210</v>
      </c>
      <c r="B41" s="8" t="s">
        <v>204</v>
      </c>
      <c r="C41" s="47" t="n">
        <v>4</v>
      </c>
      <c r="D41" s="43"/>
      <c r="E41" s="49" t="n">
        <f aca="false">C41*D41</f>
        <v>0</v>
      </c>
      <c r="F41" s="29" t="s">
        <v>211</v>
      </c>
    </row>
    <row r="42" customFormat="false" ht="15" hidden="false" customHeight="false" outlineLevel="0" collapsed="false">
      <c r="A42" s="8" t="s">
        <v>212</v>
      </c>
      <c r="B42" s="8" t="s">
        <v>204</v>
      </c>
      <c r="C42" s="47" t="n">
        <v>2</v>
      </c>
      <c r="D42" s="43"/>
      <c r="E42" s="49" t="n">
        <f aca="false">C42*D42</f>
        <v>0</v>
      </c>
      <c r="F42" s="29" t="s">
        <v>213</v>
      </c>
    </row>
    <row r="43" customFormat="false" ht="15" hidden="false" customHeight="false" outlineLevel="0" collapsed="false">
      <c r="A43" s="26" t="s">
        <v>214</v>
      </c>
      <c r="B43" s="28"/>
      <c r="C43" s="28"/>
      <c r="D43" s="28"/>
      <c r="E43" s="44" t="n">
        <f aca="false">SUM(E38:E42)</f>
        <v>0</v>
      </c>
      <c r="F43" s="28"/>
    </row>
    <row r="45" customFormat="false" ht="15" hidden="false" customHeight="false" outlineLevel="0" collapsed="false">
      <c r="A45" s="3" t="s">
        <v>215</v>
      </c>
      <c r="B45" s="4"/>
      <c r="C45" s="4"/>
      <c r="D45" s="4"/>
      <c r="E45" s="4"/>
      <c r="F45" s="4"/>
    </row>
    <row r="46" customFormat="false" ht="15" hidden="false" customHeight="false" outlineLevel="0" collapsed="false">
      <c r="A46" s="8" t="s">
        <v>216</v>
      </c>
      <c r="B46" s="8" t="s">
        <v>204</v>
      </c>
      <c r="C46" s="47" t="n">
        <f aca="false">Parametros!$B$55</f>
        <v>2</v>
      </c>
      <c r="D46" s="43"/>
      <c r="E46" s="49" t="n">
        <f aca="false">C46*D46</f>
        <v>0</v>
      </c>
      <c r="F46" s="29" t="s">
        <v>213</v>
      </c>
    </row>
    <row r="47" customFormat="false" ht="15" hidden="false" customHeight="false" outlineLevel="0" collapsed="false">
      <c r="A47" s="8" t="s">
        <v>217</v>
      </c>
      <c r="B47" s="8" t="s">
        <v>204</v>
      </c>
      <c r="C47" s="47" t="n">
        <f aca="false">Parametros!$B$33*Parametros!$B$55</f>
        <v>16</v>
      </c>
      <c r="D47" s="43"/>
      <c r="E47" s="49" t="n">
        <f aca="false">C47*D47</f>
        <v>0</v>
      </c>
      <c r="F47" s="29" t="s">
        <v>218</v>
      </c>
    </row>
    <row r="48" customFormat="false" ht="15" hidden="false" customHeight="false" outlineLevel="0" collapsed="false">
      <c r="A48" s="8" t="s">
        <v>219</v>
      </c>
      <c r="B48" s="8" t="s">
        <v>204</v>
      </c>
      <c r="C48" s="47" t="n">
        <v>4</v>
      </c>
      <c r="D48" s="43"/>
      <c r="E48" s="49" t="n">
        <f aca="false">C48*D48</f>
        <v>0</v>
      </c>
      <c r="F48" s="29" t="s">
        <v>211</v>
      </c>
    </row>
    <row r="49" customFormat="false" ht="15" hidden="false" customHeight="false" outlineLevel="0" collapsed="false">
      <c r="A49" s="8" t="s">
        <v>220</v>
      </c>
      <c r="B49" s="8" t="s">
        <v>204</v>
      </c>
      <c r="C49" s="47" t="n">
        <v>2</v>
      </c>
      <c r="D49" s="43"/>
      <c r="E49" s="49" t="n">
        <f aca="false">C49*D49</f>
        <v>0</v>
      </c>
      <c r="F49" s="29"/>
    </row>
    <row r="50" customFormat="false" ht="15" hidden="false" customHeight="false" outlineLevel="0" collapsed="false">
      <c r="A50" s="8" t="s">
        <v>221</v>
      </c>
      <c r="B50" s="8" t="s">
        <v>204</v>
      </c>
      <c r="C50" s="47" t="n">
        <v>2</v>
      </c>
      <c r="D50" s="43"/>
      <c r="E50" s="49" t="n">
        <f aca="false">C50*D50</f>
        <v>0</v>
      </c>
      <c r="F50" s="29" t="s">
        <v>222</v>
      </c>
    </row>
    <row r="51" customFormat="false" ht="15" hidden="false" customHeight="false" outlineLevel="0" collapsed="false">
      <c r="A51" s="8" t="s">
        <v>223</v>
      </c>
      <c r="B51" s="8" t="s">
        <v>204</v>
      </c>
      <c r="C51" s="47" t="n">
        <v>4</v>
      </c>
      <c r="D51" s="43"/>
      <c r="E51" s="49" t="n">
        <f aca="false">C51*D51</f>
        <v>0</v>
      </c>
      <c r="F51" s="29"/>
    </row>
    <row r="52" customFormat="false" ht="15" hidden="false" customHeight="false" outlineLevel="0" collapsed="false">
      <c r="A52" s="8" t="s">
        <v>224</v>
      </c>
      <c r="B52" s="8" t="s">
        <v>204</v>
      </c>
      <c r="C52" s="47" t="n">
        <v>2</v>
      </c>
      <c r="D52" s="43"/>
      <c r="E52" s="49" t="n">
        <f aca="false">C52*D52</f>
        <v>0</v>
      </c>
      <c r="F52" s="29"/>
    </row>
    <row r="53" customFormat="false" ht="15" hidden="false" customHeight="false" outlineLevel="0" collapsed="false">
      <c r="A53" s="8" t="s">
        <v>225</v>
      </c>
      <c r="B53" s="8" t="s">
        <v>204</v>
      </c>
      <c r="C53" s="47" t="n">
        <v>4</v>
      </c>
      <c r="D53" s="43"/>
      <c r="E53" s="49" t="n">
        <f aca="false">C53*D53</f>
        <v>0</v>
      </c>
      <c r="F53" s="29"/>
    </row>
    <row r="54" customFormat="false" ht="15" hidden="false" customHeight="false" outlineLevel="0" collapsed="false">
      <c r="A54" s="8" t="s">
        <v>226</v>
      </c>
      <c r="B54" s="8" t="s">
        <v>204</v>
      </c>
      <c r="C54" s="47" t="n">
        <v>2</v>
      </c>
      <c r="D54" s="43"/>
      <c r="E54" s="49" t="n">
        <f aca="false">C54*D54</f>
        <v>0</v>
      </c>
      <c r="F54" s="29" t="s">
        <v>213</v>
      </c>
    </row>
    <row r="55" customFormat="false" ht="15" hidden="false" customHeight="false" outlineLevel="0" collapsed="false">
      <c r="A55" s="8" t="s">
        <v>227</v>
      </c>
      <c r="B55" s="8" t="s">
        <v>159</v>
      </c>
      <c r="C55" s="47" t="n">
        <v>0</v>
      </c>
      <c r="D55" s="43"/>
      <c r="E55" s="49" t="n">
        <f aca="false">C55*D55</f>
        <v>0</v>
      </c>
      <c r="F55" s="29"/>
    </row>
    <row r="56" customFormat="false" ht="15" hidden="false" customHeight="false" outlineLevel="0" collapsed="false">
      <c r="A56" s="26" t="s">
        <v>228</v>
      </c>
      <c r="B56" s="28"/>
      <c r="C56" s="28"/>
      <c r="D56" s="28"/>
      <c r="E56" s="44" t="n">
        <f aca="false">SUM(E46:E55)</f>
        <v>0</v>
      </c>
      <c r="F56" s="28"/>
    </row>
    <row r="58" customFormat="false" ht="15" hidden="false" customHeight="false" outlineLevel="0" collapsed="false">
      <c r="A58" s="3" t="s">
        <v>229</v>
      </c>
      <c r="B58" s="4"/>
      <c r="C58" s="4"/>
      <c r="D58" s="4"/>
      <c r="E58" s="4"/>
      <c r="F58" s="4"/>
    </row>
    <row r="59" customFormat="false" ht="15" hidden="false" customHeight="false" outlineLevel="0" collapsed="false">
      <c r="A59" s="8" t="s">
        <v>230</v>
      </c>
      <c r="B59" s="8" t="s">
        <v>231</v>
      </c>
      <c r="C59" s="47" t="n">
        <v>4</v>
      </c>
      <c r="D59" s="43"/>
      <c r="E59" s="49" t="n">
        <f aca="false">C59*D59</f>
        <v>0</v>
      </c>
      <c r="F59" s="29" t="s">
        <v>232</v>
      </c>
    </row>
    <row r="60" customFormat="false" ht="15" hidden="false" customHeight="false" outlineLevel="0" collapsed="false">
      <c r="A60" s="8" t="s">
        <v>233</v>
      </c>
      <c r="B60" s="8" t="s">
        <v>192</v>
      </c>
      <c r="C60" s="47" t="n">
        <v>4</v>
      </c>
      <c r="D60" s="43"/>
      <c r="E60" s="49" t="n">
        <f aca="false">C60*D60</f>
        <v>0</v>
      </c>
      <c r="F60" s="29"/>
    </row>
    <row r="61" customFormat="false" ht="15" hidden="false" customHeight="false" outlineLevel="0" collapsed="false">
      <c r="A61" s="8" t="s">
        <v>234</v>
      </c>
      <c r="B61" s="8" t="s">
        <v>159</v>
      </c>
      <c r="C61" s="47" t="n">
        <f aca="false">Parametros!$B$55</f>
        <v>2</v>
      </c>
      <c r="D61" s="43"/>
      <c r="E61" s="49" t="n">
        <f aca="false">C61*D61</f>
        <v>0</v>
      </c>
      <c r="F61" s="29"/>
    </row>
    <row r="62" customFormat="false" ht="15" hidden="false" customHeight="false" outlineLevel="0" collapsed="false">
      <c r="A62" s="8" t="s">
        <v>235</v>
      </c>
      <c r="B62" s="8" t="s">
        <v>159</v>
      </c>
      <c r="C62" s="47" t="n">
        <f aca="false">Parametros!$B$55</f>
        <v>2</v>
      </c>
      <c r="D62" s="43"/>
      <c r="E62" s="49" t="n">
        <f aca="false">C62*D62</f>
        <v>0</v>
      </c>
      <c r="F62" s="29" t="s">
        <v>236</v>
      </c>
    </row>
    <row r="63" customFormat="false" ht="15" hidden="false" customHeight="false" outlineLevel="0" collapsed="false">
      <c r="A63" s="8" t="s">
        <v>237</v>
      </c>
      <c r="B63" s="8" t="s">
        <v>25</v>
      </c>
      <c r="C63" s="47" t="n">
        <v>4</v>
      </c>
      <c r="D63" s="43"/>
      <c r="E63" s="49" t="n">
        <f aca="false">C63*D63</f>
        <v>0</v>
      </c>
      <c r="F63" s="29" t="s">
        <v>238</v>
      </c>
    </row>
    <row r="64" customFormat="false" ht="15" hidden="false" customHeight="false" outlineLevel="0" collapsed="false">
      <c r="A64" s="8" t="s">
        <v>239</v>
      </c>
      <c r="B64" s="8" t="s">
        <v>192</v>
      </c>
      <c r="C64" s="47" t="n">
        <v>1</v>
      </c>
      <c r="D64" s="43"/>
      <c r="E64" s="49" t="n">
        <f aca="false">C64*D64</f>
        <v>0</v>
      </c>
      <c r="F64" s="29"/>
    </row>
    <row r="65" customFormat="false" ht="15" hidden="false" customHeight="false" outlineLevel="0" collapsed="false">
      <c r="A65" s="8" t="s">
        <v>240</v>
      </c>
      <c r="B65" s="8" t="s">
        <v>241</v>
      </c>
      <c r="C65" s="47" t="n">
        <v>2</v>
      </c>
      <c r="D65" s="43"/>
      <c r="E65" s="49" t="n">
        <f aca="false">C65*D65</f>
        <v>0</v>
      </c>
      <c r="F65" s="29" t="s">
        <v>242</v>
      </c>
    </row>
    <row r="66" customFormat="false" ht="15" hidden="false" customHeight="false" outlineLevel="0" collapsed="false">
      <c r="A66" s="26" t="s">
        <v>243</v>
      </c>
      <c r="B66" s="28"/>
      <c r="C66" s="28"/>
      <c r="D66" s="28"/>
      <c r="E66" s="44" t="n">
        <f aca="false">SUM(E59:E65)</f>
        <v>0</v>
      </c>
      <c r="F66" s="28"/>
    </row>
    <row r="68" customFormat="false" ht="15" hidden="false" customHeight="false" outlineLevel="0" collapsed="false">
      <c r="A68" s="3" t="s">
        <v>244</v>
      </c>
      <c r="B68" s="4"/>
      <c r="C68" s="4"/>
      <c r="D68" s="4"/>
      <c r="E68" s="4"/>
      <c r="F68" s="4"/>
    </row>
    <row r="69" customFormat="false" ht="15" hidden="false" customHeight="false" outlineLevel="0" collapsed="false">
      <c r="A69" s="8" t="s">
        <v>245</v>
      </c>
      <c r="B69" s="8" t="s">
        <v>25</v>
      </c>
      <c r="C69" s="47" t="n">
        <v>1</v>
      </c>
      <c r="D69" s="43"/>
      <c r="E69" s="49" t="n">
        <f aca="false">C69*D69</f>
        <v>0</v>
      </c>
      <c r="F69" s="29" t="s">
        <v>246</v>
      </c>
    </row>
    <row r="70" customFormat="false" ht="15" hidden="false" customHeight="false" outlineLevel="0" collapsed="false">
      <c r="A70" s="8" t="s">
        <v>247</v>
      </c>
      <c r="B70" s="8" t="s">
        <v>25</v>
      </c>
      <c r="C70" s="47" t="n">
        <v>4</v>
      </c>
      <c r="D70" s="43"/>
      <c r="E70" s="49" t="n">
        <f aca="false">C70*D70</f>
        <v>0</v>
      </c>
      <c r="F70" s="29"/>
    </row>
    <row r="71" customFormat="false" ht="15" hidden="false" customHeight="false" outlineLevel="0" collapsed="false">
      <c r="A71" s="8" t="s">
        <v>248</v>
      </c>
      <c r="B71" s="8" t="s">
        <v>25</v>
      </c>
      <c r="C71" s="47" t="n">
        <v>6</v>
      </c>
      <c r="D71" s="43"/>
      <c r="E71" s="49" t="n">
        <f aca="false">C71*D71</f>
        <v>0</v>
      </c>
      <c r="F71" s="29"/>
    </row>
    <row r="72" customFormat="false" ht="15" hidden="false" customHeight="false" outlineLevel="0" collapsed="false">
      <c r="A72" s="8" t="s">
        <v>249</v>
      </c>
      <c r="B72" s="8" t="s">
        <v>25</v>
      </c>
      <c r="C72" s="47" t="n">
        <v>2</v>
      </c>
      <c r="D72" s="43"/>
      <c r="E72" s="49" t="n">
        <f aca="false">C72*D72</f>
        <v>0</v>
      </c>
      <c r="F72" s="29"/>
    </row>
    <row r="73" customFormat="false" ht="15" hidden="false" customHeight="false" outlineLevel="0" collapsed="false">
      <c r="A73" s="8" t="s">
        <v>250</v>
      </c>
      <c r="B73" s="8" t="s">
        <v>25</v>
      </c>
      <c r="C73" s="47" t="n">
        <f aca="false">Parametros!$F$18+30</f>
        <v>270</v>
      </c>
      <c r="D73" s="43"/>
      <c r="E73" s="49" t="n">
        <f aca="false">C73*D73</f>
        <v>0</v>
      </c>
      <c r="F73" s="29" t="s">
        <v>251</v>
      </c>
    </row>
    <row r="74" customFormat="false" ht="15" hidden="false" customHeight="false" outlineLevel="0" collapsed="false">
      <c r="A74" s="8" t="s">
        <v>252</v>
      </c>
      <c r="B74" s="8" t="s">
        <v>253</v>
      </c>
      <c r="C74" s="47" t="n">
        <v>60</v>
      </c>
      <c r="D74" s="43"/>
      <c r="E74" s="49" t="n">
        <f aca="false">C74*D74</f>
        <v>0</v>
      </c>
      <c r="F74" s="29"/>
    </row>
    <row r="75" customFormat="false" ht="15" hidden="false" customHeight="false" outlineLevel="0" collapsed="false">
      <c r="A75" s="8" t="s">
        <v>254</v>
      </c>
      <c r="B75" s="8" t="s">
        <v>255</v>
      </c>
      <c r="C75" s="47" t="n">
        <v>1</v>
      </c>
      <c r="D75" s="43"/>
      <c r="E75" s="49" t="n">
        <f aca="false">C75*D75</f>
        <v>0</v>
      </c>
      <c r="F75" s="29"/>
    </row>
    <row r="76" customFormat="false" ht="15" hidden="false" customHeight="false" outlineLevel="0" collapsed="false">
      <c r="A76" s="8" t="s">
        <v>256</v>
      </c>
      <c r="B76" s="8" t="s">
        <v>255</v>
      </c>
      <c r="C76" s="47" t="n">
        <v>1</v>
      </c>
      <c r="D76" s="43"/>
      <c r="E76" s="49" t="n">
        <f aca="false">C76*D76</f>
        <v>0</v>
      </c>
      <c r="F76" s="29"/>
    </row>
    <row r="77" customFormat="false" ht="15" hidden="false" customHeight="false" outlineLevel="0" collapsed="false">
      <c r="A77" s="8" t="s">
        <v>257</v>
      </c>
      <c r="B77" s="8" t="s">
        <v>255</v>
      </c>
      <c r="C77" s="47" t="n">
        <v>1</v>
      </c>
      <c r="D77" s="43"/>
      <c r="E77" s="49" t="n">
        <f aca="false">C77*D77</f>
        <v>0</v>
      </c>
      <c r="F77" s="29"/>
    </row>
    <row r="78" customFormat="false" ht="15" hidden="false" customHeight="false" outlineLevel="0" collapsed="false">
      <c r="A78" s="26" t="s">
        <v>258</v>
      </c>
      <c r="B78" s="28"/>
      <c r="C78" s="28"/>
      <c r="D78" s="28"/>
      <c r="E78" s="44" t="n">
        <f aca="false">SUM(E69:E77)</f>
        <v>0</v>
      </c>
      <c r="F78" s="28"/>
    </row>
    <row r="80" customFormat="false" ht="15" hidden="false" customHeight="false" outlineLevel="0" collapsed="false">
      <c r="A80" s="3" t="s">
        <v>259</v>
      </c>
      <c r="B80" s="4"/>
      <c r="C80" s="4"/>
      <c r="D80" s="4"/>
      <c r="E80" s="4"/>
      <c r="F80" s="4"/>
    </row>
    <row r="81" customFormat="false" ht="15" hidden="false" customHeight="false" outlineLevel="0" collapsed="false">
      <c r="A81" s="8" t="s">
        <v>260</v>
      </c>
      <c r="B81" s="8" t="s">
        <v>261</v>
      </c>
      <c r="C81" s="47" t="n">
        <f aca="false">Parametros!$F$18*Parametros!$B$55*2</f>
        <v>960</v>
      </c>
      <c r="D81" s="43"/>
      <c r="E81" s="49" t="n">
        <f aca="false">C81*D81</f>
        <v>0</v>
      </c>
      <c r="F81" s="29" t="s">
        <v>262</v>
      </c>
    </row>
    <row r="82" customFormat="false" ht="15" hidden="false" customHeight="false" outlineLevel="0" collapsed="false">
      <c r="A82" s="8" t="s">
        <v>263</v>
      </c>
      <c r="B82" s="8" t="s">
        <v>264</v>
      </c>
      <c r="C82" s="47" t="n">
        <f aca="false">Parametros!$F$18*Parametros!$B$55</f>
        <v>480</v>
      </c>
      <c r="D82" s="43"/>
      <c r="E82" s="49" t="n">
        <f aca="false">C82*D82</f>
        <v>0</v>
      </c>
      <c r="F82" s="29" t="s">
        <v>265</v>
      </c>
    </row>
    <row r="83" customFormat="false" ht="15" hidden="false" customHeight="false" outlineLevel="0" collapsed="false">
      <c r="A83" s="8" t="s">
        <v>266</v>
      </c>
      <c r="B83" s="8" t="s">
        <v>264</v>
      </c>
      <c r="C83" s="47" t="n">
        <f aca="false">40*Parametros!$B$55</f>
        <v>80</v>
      </c>
      <c r="D83" s="43"/>
      <c r="E83" s="49" t="n">
        <f aca="false">C83*D83</f>
        <v>0</v>
      </c>
      <c r="F83" s="29" t="s">
        <v>267</v>
      </c>
    </row>
    <row r="84" customFormat="false" ht="15" hidden="false" customHeight="false" outlineLevel="0" collapsed="false">
      <c r="A84" s="8" t="s">
        <v>268</v>
      </c>
      <c r="B84" s="8" t="s">
        <v>192</v>
      </c>
      <c r="C84" s="47" t="n">
        <v>4</v>
      </c>
      <c r="D84" s="43"/>
      <c r="E84" s="49" t="n">
        <f aca="false">C84*D84</f>
        <v>0</v>
      </c>
      <c r="F84" s="29"/>
    </row>
    <row r="85" customFormat="false" ht="15" hidden="false" customHeight="false" outlineLevel="0" collapsed="false">
      <c r="A85" s="8" t="s">
        <v>269</v>
      </c>
      <c r="B85" s="8" t="s">
        <v>192</v>
      </c>
      <c r="C85" s="47" t="n">
        <v>1</v>
      </c>
      <c r="D85" s="43"/>
      <c r="E85" s="49" t="n">
        <f aca="false">C85*D85</f>
        <v>0</v>
      </c>
      <c r="F85" s="29"/>
    </row>
    <row r="86" customFormat="false" ht="15" hidden="false" customHeight="false" outlineLevel="0" collapsed="false">
      <c r="A86" s="26" t="s">
        <v>270</v>
      </c>
      <c r="B86" s="28"/>
      <c r="C86" s="28"/>
      <c r="D86" s="28"/>
      <c r="E86" s="44" t="n">
        <f aca="false">SUM(E81:E85)</f>
        <v>0</v>
      </c>
      <c r="F86" s="28"/>
    </row>
    <row r="88" customFormat="false" ht="15" hidden="false" customHeight="false" outlineLevel="0" collapsed="false">
      <c r="A88" s="3" t="s">
        <v>271</v>
      </c>
      <c r="B88" s="4"/>
      <c r="C88" s="4"/>
      <c r="D88" s="4"/>
      <c r="E88" s="4"/>
      <c r="F88" s="4"/>
    </row>
    <row r="89" customFormat="false" ht="15" hidden="false" customHeight="false" outlineLevel="0" collapsed="false">
      <c r="A89" s="8" t="s">
        <v>272</v>
      </c>
      <c r="B89" s="8" t="s">
        <v>273</v>
      </c>
      <c r="C89" s="47" t="n">
        <f aca="false">Parametros!$F$18</f>
        <v>240</v>
      </c>
      <c r="D89" s="43"/>
      <c r="E89" s="49" t="n">
        <f aca="false">C89*D89</f>
        <v>0</v>
      </c>
      <c r="F89" s="29" t="s">
        <v>274</v>
      </c>
    </row>
    <row r="90" customFormat="false" ht="15" hidden="false" customHeight="false" outlineLevel="0" collapsed="false">
      <c r="A90" s="8" t="s">
        <v>275</v>
      </c>
      <c r="B90" s="8" t="s">
        <v>276</v>
      </c>
      <c r="C90" s="47" t="n">
        <v>1</v>
      </c>
      <c r="D90" s="43"/>
      <c r="E90" s="49" t="n">
        <f aca="false">C90*D90</f>
        <v>0</v>
      </c>
      <c r="F90" s="29"/>
    </row>
    <row r="91" customFormat="false" ht="15" hidden="false" customHeight="false" outlineLevel="0" collapsed="false">
      <c r="A91" s="8" t="s">
        <v>277</v>
      </c>
      <c r="B91" s="8" t="s">
        <v>278</v>
      </c>
      <c r="C91" s="47" t="n">
        <v>2</v>
      </c>
      <c r="D91" s="43"/>
      <c r="E91" s="49" t="n">
        <f aca="false">C91*D91</f>
        <v>0</v>
      </c>
      <c r="F91" s="29"/>
    </row>
    <row r="92" customFormat="false" ht="15" hidden="false" customHeight="false" outlineLevel="0" collapsed="false">
      <c r="A92" s="8" t="s">
        <v>279</v>
      </c>
      <c r="B92" s="8" t="s">
        <v>280</v>
      </c>
      <c r="C92" s="47" t="n">
        <v>1</v>
      </c>
      <c r="D92" s="43"/>
      <c r="E92" s="49" t="n">
        <f aca="false">C92*D92</f>
        <v>0</v>
      </c>
      <c r="F92" s="29" t="s">
        <v>281</v>
      </c>
    </row>
    <row r="93" customFormat="false" ht="15" hidden="false" customHeight="false" outlineLevel="0" collapsed="false">
      <c r="A93" s="8" t="s">
        <v>282</v>
      </c>
      <c r="B93" s="8" t="s">
        <v>255</v>
      </c>
      <c r="C93" s="47" t="n">
        <v>1</v>
      </c>
      <c r="D93" s="43"/>
      <c r="E93" s="49" t="n">
        <f aca="false">C93*D93</f>
        <v>0</v>
      </c>
      <c r="F93" s="29"/>
    </row>
    <row r="94" customFormat="false" ht="15" hidden="false" customHeight="false" outlineLevel="0" collapsed="false">
      <c r="A94" s="26" t="s">
        <v>283</v>
      </c>
      <c r="B94" s="28"/>
      <c r="C94" s="28"/>
      <c r="D94" s="28"/>
      <c r="E94" s="44" t="n">
        <f aca="false">SUM(E89:E93)</f>
        <v>0</v>
      </c>
      <c r="F94" s="28"/>
    </row>
    <row r="96" customFormat="false" ht="15" hidden="false" customHeight="false" outlineLevel="0" collapsed="false">
      <c r="A96" s="26" t="s">
        <v>284</v>
      </c>
      <c r="B96" s="28"/>
      <c r="C96" s="28"/>
      <c r="D96" s="28"/>
      <c r="E96" s="44" t="n">
        <f aca="false">E8+E23+E35+E43+E56+E66+E78+E86+E94</f>
        <v>0</v>
      </c>
      <c r="F96" s="28"/>
    </row>
    <row r="97" customFormat="false" ht="15" hidden="false" customHeight="false" outlineLevel="0" collapsed="false">
      <c r="A97" s="28" t="s">
        <v>285</v>
      </c>
      <c r="B97" s="28" t="s">
        <v>286</v>
      </c>
      <c r="C97" s="50" t="n">
        <v>0.1</v>
      </c>
      <c r="D97" s="28"/>
      <c r="E97" s="51" t="n">
        <f aca="false">E96*C97</f>
        <v>0</v>
      </c>
      <c r="F97" s="52" t="s">
        <v>287</v>
      </c>
    </row>
    <row r="98" customFormat="false" ht="15" hidden="false" customHeight="false" outlineLevel="0" collapsed="false">
      <c r="A98" s="26" t="s">
        <v>288</v>
      </c>
      <c r="B98" s="28"/>
      <c r="C98" s="28"/>
      <c r="D98" s="28"/>
      <c r="E98" s="44" t="n">
        <f aca="false">E96+E97</f>
        <v>0</v>
      </c>
      <c r="F98" s="28"/>
    </row>
  </sheetData>
  <mergeCells count="2">
    <mergeCell ref="A1:F1"/>
    <mergeCell ref="A2:F2"/>
  </mergeCells>
  <printOptions headings="false" gridLines="false" gridLinesSet="true" horizontalCentered="false" verticalCentered="false"/>
  <pageMargins left="0.4" right="0.4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&amp;CGOAT LEAGUE · Planificación · &amp;A · Página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8"/>
    <col collapsed="false" customWidth="true" hidden="false" outlineLevel="0" max="8" min="3" style="0" width="14"/>
  </cols>
  <sheetData>
    <row r="1" customFormat="false" ht="30" hidden="false" customHeight="true" outlineLevel="0" collapsed="false">
      <c r="A1" s="1" t="s">
        <v>289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290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291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8" t="s">
        <v>292</v>
      </c>
      <c r="B5" s="42" t="n">
        <f aca="false">Parametros!B18</f>
        <v>20</v>
      </c>
    </row>
    <row r="6" customFormat="false" ht="15" hidden="false" customHeight="false" outlineLevel="0" collapsed="false">
      <c r="A6" s="8" t="s">
        <v>293</v>
      </c>
      <c r="B6" s="43"/>
    </row>
    <row r="7" customFormat="false" ht="15" hidden="false" customHeight="false" outlineLevel="0" collapsed="false">
      <c r="A7" s="8" t="s">
        <v>294</v>
      </c>
      <c r="B7" s="53"/>
    </row>
    <row r="8" customFormat="false" ht="15" hidden="false" customHeight="false" outlineLevel="0" collapsed="false">
      <c r="A8" s="8" t="s">
        <v>295</v>
      </c>
      <c r="B8" s="49" t="n">
        <f aca="false">B5*B6*(1-B7)</f>
        <v>0</v>
      </c>
    </row>
    <row r="9" customFormat="false" ht="15" hidden="false" customHeight="false" outlineLevel="0" collapsed="false">
      <c r="A9" s="8" t="s">
        <v>296</v>
      </c>
      <c r="B9" s="43"/>
    </row>
    <row r="10" customFormat="false" ht="15" hidden="false" customHeight="false" outlineLevel="0" collapsed="false">
      <c r="A10" s="8" t="s">
        <v>297</v>
      </c>
      <c r="B10" s="43"/>
    </row>
    <row r="11" customFormat="false" ht="15" hidden="false" customHeight="false" outlineLevel="0" collapsed="false">
      <c r="A11" s="8" t="s">
        <v>298</v>
      </c>
      <c r="B11" s="43"/>
    </row>
    <row r="12" customFormat="false" ht="15" hidden="false" customHeight="false" outlineLevel="0" collapsed="false">
      <c r="A12" s="21" t="s">
        <v>299</v>
      </c>
      <c r="B12" s="54" t="n">
        <f aca="false">SUM(B8:B11)</f>
        <v>0</v>
      </c>
    </row>
    <row r="13" customFormat="false" ht="15" hidden="false" customHeight="false" outlineLevel="0" collapsed="false">
      <c r="A13" s="8" t="s">
        <v>300</v>
      </c>
      <c r="B13" s="53"/>
    </row>
    <row r="14" customFormat="false" ht="15" hidden="false" customHeight="false" outlineLevel="0" collapsed="false">
      <c r="A14" s="8" t="s">
        <v>301</v>
      </c>
      <c r="B14" s="53"/>
    </row>
    <row r="15" customFormat="false" ht="15" hidden="false" customHeight="false" outlineLevel="0" collapsed="false">
      <c r="A15" s="8" t="s">
        <v>302</v>
      </c>
      <c r="B15" s="49" t="n">
        <f aca="false">B8*B13+B12*B14</f>
        <v>0</v>
      </c>
    </row>
    <row r="16" customFormat="false" ht="15" hidden="false" customHeight="false" outlineLevel="0" collapsed="false">
      <c r="A16" s="21" t="s">
        <v>303</v>
      </c>
      <c r="B16" s="54" t="n">
        <f aca="false">B12-B15</f>
        <v>0</v>
      </c>
    </row>
    <row r="18" customFormat="false" ht="15" hidden="false" customHeight="false" outlineLevel="0" collapsed="false">
      <c r="A18" s="3" t="s">
        <v>304</v>
      </c>
      <c r="B18" s="4"/>
      <c r="C18" s="4"/>
      <c r="D18" s="4"/>
      <c r="E18" s="4"/>
      <c r="F18" s="4"/>
      <c r="G18" s="4"/>
      <c r="H18" s="4"/>
    </row>
    <row r="19" customFormat="false" ht="15" hidden="false" customHeight="false" outlineLevel="0" collapsed="false">
      <c r="A19" s="8" t="s">
        <v>305</v>
      </c>
      <c r="B19" s="48" t="n">
        <f aca="false">Gastos!E98</f>
        <v>0</v>
      </c>
    </row>
    <row r="20" customFormat="false" ht="15" hidden="false" customHeight="false" outlineLevel="0" collapsed="false">
      <c r="A20" s="26" t="s">
        <v>306</v>
      </c>
      <c r="B20" s="44" t="n">
        <f aca="false">B16-B19</f>
        <v>0</v>
      </c>
    </row>
    <row r="21" customFormat="false" ht="15" hidden="false" customHeight="false" outlineLevel="0" collapsed="false">
      <c r="A21" s="8" t="s">
        <v>307</v>
      </c>
      <c r="B21" s="55" t="n">
        <f aca="false">IF(B12=0,0,B20/B12)</f>
        <v>0</v>
      </c>
    </row>
    <row r="23" customFormat="false" ht="15" hidden="false" customHeight="false" outlineLevel="0" collapsed="false">
      <c r="A23" s="3" t="s">
        <v>308</v>
      </c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8" t="s">
        <v>309</v>
      </c>
      <c r="B24" s="49" t="n">
        <f aca="false">IF(B5=0,0,B19/B5)</f>
        <v>0</v>
      </c>
    </row>
    <row r="25" customFormat="false" ht="15" hidden="false" customHeight="false" outlineLevel="0" collapsed="false">
      <c r="A25" s="8" t="s">
        <v>310</v>
      </c>
      <c r="B25" s="49" t="n">
        <f aca="false">IF(Parametros!F18=0,0,B19/Parametros!F18)</f>
        <v>0</v>
      </c>
    </row>
    <row r="26" customFormat="false" ht="15" hidden="false" customHeight="false" outlineLevel="0" collapsed="false">
      <c r="A26" s="8" t="s">
        <v>311</v>
      </c>
      <c r="B26" s="49" t="n">
        <f aca="false">IF(Parametros!I18=0,0,B19/Parametros!I18)</f>
        <v>0</v>
      </c>
    </row>
    <row r="27" customFormat="false" ht="15" hidden="false" customHeight="false" outlineLevel="0" collapsed="false">
      <c r="A27" s="8" t="s">
        <v>312</v>
      </c>
      <c r="B27" s="49" t="n">
        <f aca="false">IF(OR(B5=0,Parametros!F18=0),0,B6/(Parametros!F18/B5))</f>
        <v>0</v>
      </c>
    </row>
    <row r="29" customFormat="false" ht="15" hidden="false" customHeight="false" outlineLevel="0" collapsed="false">
      <c r="A29" s="3" t="s">
        <v>313</v>
      </c>
      <c r="B29" s="4"/>
      <c r="C29" s="4"/>
      <c r="D29" s="4"/>
      <c r="E29" s="4"/>
      <c r="F29" s="4"/>
      <c r="G29" s="4"/>
      <c r="H29" s="4"/>
    </row>
    <row r="30" customFormat="false" ht="15" hidden="false" customHeight="false" outlineLevel="0" collapsed="false">
      <c r="A30" s="8" t="s">
        <v>314</v>
      </c>
      <c r="B30" s="49" t="n">
        <f aca="false">IF(OR(B5=0,(1-B7)*(1-B13-B14)&lt;=0),0,MAX(0,B19-(B9+B10+B11)*(1-B14))/(B5*(1-B7)*(1-B13-B14)))</f>
        <v>0</v>
      </c>
    </row>
    <row r="31" customFormat="false" ht="15" hidden="false" customHeight="false" outlineLevel="0" collapsed="false">
      <c r="A31" s="8" t="s">
        <v>315</v>
      </c>
      <c r="B31" s="24" t="n">
        <f aca="false">IF(OR(B6=0,(1-B7)*(1-B13-B14)&lt;=0),0,ROUNDUP(MAX(0,B19-(B9+B10+B11)*(1-B14))/(B6*(1-B7)*(1-B13-B14)),0))</f>
        <v>0</v>
      </c>
    </row>
    <row r="32" customFormat="false" ht="15" hidden="false" customHeight="false" outlineLevel="0" collapsed="false">
      <c r="A32" s="8" t="s">
        <v>316</v>
      </c>
      <c r="B32" s="43"/>
    </row>
    <row r="33" customFormat="false" ht="15" hidden="false" customHeight="false" outlineLevel="0" collapsed="false">
      <c r="A33" s="8" t="s">
        <v>317</v>
      </c>
      <c r="B33" s="49" t="n">
        <f aca="false">IF(OR(B5=0,(1-B7)*(1-B13-B14)&lt;=0),0,MAX(0,B19+B32-(B9+B10+B11)*(1-B14))/(B5*(1-B7)*(1-B13-B14)))</f>
        <v>0</v>
      </c>
    </row>
    <row r="35" customFormat="false" ht="15" hidden="false" customHeight="false" outlineLevel="0" collapsed="false">
      <c r="A35" s="3" t="s">
        <v>318</v>
      </c>
      <c r="B35" s="4"/>
      <c r="C35" s="4"/>
      <c r="D35" s="4"/>
      <c r="E35" s="4"/>
      <c r="F35" s="4"/>
      <c r="G35" s="4"/>
      <c r="H35" s="4"/>
    </row>
    <row r="36" customFormat="false" ht="15" hidden="false" customHeight="false" outlineLevel="0" collapsed="false">
      <c r="A36" s="8" t="s">
        <v>319</v>
      </c>
      <c r="B36" s="53"/>
    </row>
    <row r="37" customFormat="false" ht="15" hidden="false" customHeight="false" outlineLevel="0" collapsed="false">
      <c r="A37" s="8" t="s">
        <v>320</v>
      </c>
      <c r="B37" s="49" t="n">
        <f aca="false">B6*B36</f>
        <v>0</v>
      </c>
    </row>
    <row r="38" customFormat="false" ht="15" hidden="false" customHeight="false" outlineLevel="0" collapsed="false">
      <c r="A38" s="8" t="s">
        <v>321</v>
      </c>
      <c r="B38" s="49" t="n">
        <f aca="false">B6-B37</f>
        <v>0</v>
      </c>
    </row>
    <row r="39" customFormat="false" ht="15" hidden="false" customHeight="false" outlineLevel="0" collapsed="false">
      <c r="A39" s="8" t="s">
        <v>322</v>
      </c>
      <c r="B39" s="18"/>
    </row>
    <row r="40" customFormat="false" ht="15" hidden="false" customHeight="false" outlineLevel="0" collapsed="false">
      <c r="A40" s="8" t="s">
        <v>323</v>
      </c>
      <c r="B40" s="18"/>
    </row>
    <row r="42" customFormat="false" ht="15" hidden="false" customHeight="false" outlineLevel="0" collapsed="false">
      <c r="A42" s="3" t="s">
        <v>324</v>
      </c>
      <c r="B42" s="4"/>
      <c r="C42" s="4"/>
      <c r="D42" s="4"/>
      <c r="E42" s="4"/>
      <c r="F42" s="4"/>
      <c r="G42" s="4"/>
      <c r="H42" s="4"/>
    </row>
    <row r="43" customFormat="false" ht="15" hidden="false" customHeight="false" outlineLevel="0" collapsed="false">
      <c r="A43" s="8" t="s">
        <v>325</v>
      </c>
      <c r="B43" s="43"/>
    </row>
    <row r="44" customFormat="false" ht="15" hidden="false" customHeight="false" outlineLevel="0" collapsed="false">
      <c r="A44" s="8" t="s">
        <v>326</v>
      </c>
      <c r="B44" s="43"/>
    </row>
    <row r="46" customFormat="false" ht="15" hidden="false" customHeight="false" outlineLevel="0" collapsed="false">
      <c r="A46" s="10" t="s">
        <v>327</v>
      </c>
      <c r="B46" s="56" t="n">
        <v>10</v>
      </c>
      <c r="C46" s="56" t="n">
        <v>15</v>
      </c>
      <c r="D46" s="56" t="n">
        <v>20</v>
      </c>
      <c r="E46" s="56" t="n">
        <v>25</v>
      </c>
      <c r="F46" s="56" t="n">
        <v>30</v>
      </c>
      <c r="G46" s="56" t="n">
        <v>35</v>
      </c>
      <c r="H46" s="56" t="n">
        <v>40</v>
      </c>
    </row>
    <row r="47" customFormat="false" ht="15" hidden="false" customHeight="false" outlineLevel="0" collapsed="false">
      <c r="A47" s="54" t="n">
        <f aca="false">$B$43+0*$B$44</f>
        <v>0</v>
      </c>
      <c r="B47" s="49" t="n">
        <f aca="false">B$46*$A47*(1-$B$7)*(1-$B$13-$B$14)+($B$9+$B$10+$B$11)*(1-$B$14)-$B$19</f>
        <v>0</v>
      </c>
      <c r="C47" s="49" t="n">
        <f aca="false">C$46*$A47*(1-$B$7)*(1-$B$13-$B$14)+($B$9+$B$10+$B$11)*(1-$B$14)-$B$19</f>
        <v>0</v>
      </c>
      <c r="D47" s="49" t="n">
        <f aca="false">D$46*$A47*(1-$B$7)*(1-$B$13-$B$14)+($B$9+$B$10+$B$11)*(1-$B$14)-$B$19</f>
        <v>0</v>
      </c>
      <c r="E47" s="49" t="n">
        <f aca="false">E$46*$A47*(1-$B$7)*(1-$B$13-$B$14)+($B$9+$B$10+$B$11)*(1-$B$14)-$B$19</f>
        <v>0</v>
      </c>
      <c r="F47" s="49" t="n">
        <f aca="false">F$46*$A47*(1-$B$7)*(1-$B$13-$B$14)+($B$9+$B$10+$B$11)*(1-$B$14)-$B$19</f>
        <v>0</v>
      </c>
      <c r="G47" s="49" t="n">
        <f aca="false">G$46*$A47*(1-$B$7)*(1-$B$13-$B$14)+($B$9+$B$10+$B$11)*(1-$B$14)-$B$19</f>
        <v>0</v>
      </c>
      <c r="H47" s="49" t="n">
        <f aca="false">H$46*$A47*(1-$B$7)*(1-$B$13-$B$14)+($B$9+$B$10+$B$11)*(1-$B$14)-$B$19</f>
        <v>0</v>
      </c>
    </row>
    <row r="48" customFormat="false" ht="15" hidden="false" customHeight="false" outlineLevel="0" collapsed="false">
      <c r="A48" s="54" t="n">
        <f aca="false">$B$43+1*$B$44</f>
        <v>0</v>
      </c>
      <c r="B48" s="49" t="n">
        <f aca="false">B$46*$A48*(1-$B$7)*(1-$B$13-$B$14)+($B$9+$B$10+$B$11)*(1-$B$14)-$B$19</f>
        <v>0</v>
      </c>
      <c r="C48" s="49" t="n">
        <f aca="false">C$46*$A48*(1-$B$7)*(1-$B$13-$B$14)+($B$9+$B$10+$B$11)*(1-$B$14)-$B$19</f>
        <v>0</v>
      </c>
      <c r="D48" s="49" t="n">
        <f aca="false">D$46*$A48*(1-$B$7)*(1-$B$13-$B$14)+($B$9+$B$10+$B$11)*(1-$B$14)-$B$19</f>
        <v>0</v>
      </c>
      <c r="E48" s="49" t="n">
        <f aca="false">E$46*$A48*(1-$B$7)*(1-$B$13-$B$14)+($B$9+$B$10+$B$11)*(1-$B$14)-$B$19</f>
        <v>0</v>
      </c>
      <c r="F48" s="49" t="n">
        <f aca="false">F$46*$A48*(1-$B$7)*(1-$B$13-$B$14)+($B$9+$B$10+$B$11)*(1-$B$14)-$B$19</f>
        <v>0</v>
      </c>
      <c r="G48" s="49" t="n">
        <f aca="false">G$46*$A48*(1-$B$7)*(1-$B$13-$B$14)+($B$9+$B$10+$B$11)*(1-$B$14)-$B$19</f>
        <v>0</v>
      </c>
      <c r="H48" s="49" t="n">
        <f aca="false">H$46*$A48*(1-$B$7)*(1-$B$13-$B$14)+($B$9+$B$10+$B$11)*(1-$B$14)-$B$19</f>
        <v>0</v>
      </c>
    </row>
    <row r="49" customFormat="false" ht="15" hidden="false" customHeight="false" outlineLevel="0" collapsed="false">
      <c r="A49" s="54" t="n">
        <f aca="false">$B$43+2*$B$44</f>
        <v>0</v>
      </c>
      <c r="B49" s="49" t="n">
        <f aca="false">B$46*$A49*(1-$B$7)*(1-$B$13-$B$14)+($B$9+$B$10+$B$11)*(1-$B$14)-$B$19</f>
        <v>0</v>
      </c>
      <c r="C49" s="49" t="n">
        <f aca="false">C$46*$A49*(1-$B$7)*(1-$B$13-$B$14)+($B$9+$B$10+$B$11)*(1-$B$14)-$B$19</f>
        <v>0</v>
      </c>
      <c r="D49" s="49" t="n">
        <f aca="false">D$46*$A49*(1-$B$7)*(1-$B$13-$B$14)+($B$9+$B$10+$B$11)*(1-$B$14)-$B$19</f>
        <v>0</v>
      </c>
      <c r="E49" s="49" t="n">
        <f aca="false">E$46*$A49*(1-$B$7)*(1-$B$13-$B$14)+($B$9+$B$10+$B$11)*(1-$B$14)-$B$19</f>
        <v>0</v>
      </c>
      <c r="F49" s="49" t="n">
        <f aca="false">F$46*$A49*(1-$B$7)*(1-$B$13-$B$14)+($B$9+$B$10+$B$11)*(1-$B$14)-$B$19</f>
        <v>0</v>
      </c>
      <c r="G49" s="49" t="n">
        <f aca="false">G$46*$A49*(1-$B$7)*(1-$B$13-$B$14)+($B$9+$B$10+$B$11)*(1-$B$14)-$B$19</f>
        <v>0</v>
      </c>
      <c r="H49" s="49" t="n">
        <f aca="false">H$46*$A49*(1-$B$7)*(1-$B$13-$B$14)+($B$9+$B$10+$B$11)*(1-$B$14)-$B$19</f>
        <v>0</v>
      </c>
    </row>
    <row r="50" customFormat="false" ht="15" hidden="false" customHeight="false" outlineLevel="0" collapsed="false">
      <c r="A50" s="54" t="n">
        <f aca="false">$B$43+3*$B$44</f>
        <v>0</v>
      </c>
      <c r="B50" s="49" t="n">
        <f aca="false">B$46*$A50*(1-$B$7)*(1-$B$13-$B$14)+($B$9+$B$10+$B$11)*(1-$B$14)-$B$19</f>
        <v>0</v>
      </c>
      <c r="C50" s="49" t="n">
        <f aca="false">C$46*$A50*(1-$B$7)*(1-$B$13-$B$14)+($B$9+$B$10+$B$11)*(1-$B$14)-$B$19</f>
        <v>0</v>
      </c>
      <c r="D50" s="49" t="n">
        <f aca="false">D$46*$A50*(1-$B$7)*(1-$B$13-$B$14)+($B$9+$B$10+$B$11)*(1-$B$14)-$B$19</f>
        <v>0</v>
      </c>
      <c r="E50" s="49" t="n">
        <f aca="false">E$46*$A50*(1-$B$7)*(1-$B$13-$B$14)+($B$9+$B$10+$B$11)*(1-$B$14)-$B$19</f>
        <v>0</v>
      </c>
      <c r="F50" s="49" t="n">
        <f aca="false">F$46*$A50*(1-$B$7)*(1-$B$13-$B$14)+($B$9+$B$10+$B$11)*(1-$B$14)-$B$19</f>
        <v>0</v>
      </c>
      <c r="G50" s="49" t="n">
        <f aca="false">G$46*$A50*(1-$B$7)*(1-$B$13-$B$14)+($B$9+$B$10+$B$11)*(1-$B$14)-$B$19</f>
        <v>0</v>
      </c>
      <c r="H50" s="49" t="n">
        <f aca="false">H$46*$A50*(1-$B$7)*(1-$B$13-$B$14)+($B$9+$B$10+$B$11)*(1-$B$14)-$B$19</f>
        <v>0</v>
      </c>
    </row>
    <row r="51" customFormat="false" ht="15" hidden="false" customHeight="false" outlineLevel="0" collapsed="false">
      <c r="A51" s="54" t="n">
        <f aca="false">$B$43+4*$B$44</f>
        <v>0</v>
      </c>
      <c r="B51" s="49" t="n">
        <f aca="false">B$46*$A51*(1-$B$7)*(1-$B$13-$B$14)+($B$9+$B$10+$B$11)*(1-$B$14)-$B$19</f>
        <v>0</v>
      </c>
      <c r="C51" s="49" t="n">
        <f aca="false">C$46*$A51*(1-$B$7)*(1-$B$13-$B$14)+($B$9+$B$10+$B$11)*(1-$B$14)-$B$19</f>
        <v>0</v>
      </c>
      <c r="D51" s="49" t="n">
        <f aca="false">D$46*$A51*(1-$B$7)*(1-$B$13-$B$14)+($B$9+$B$10+$B$11)*(1-$B$14)-$B$19</f>
        <v>0</v>
      </c>
      <c r="E51" s="49" t="n">
        <f aca="false">E$46*$A51*(1-$B$7)*(1-$B$13-$B$14)+($B$9+$B$10+$B$11)*(1-$B$14)-$B$19</f>
        <v>0</v>
      </c>
      <c r="F51" s="49" t="n">
        <f aca="false">F$46*$A51*(1-$B$7)*(1-$B$13-$B$14)+($B$9+$B$10+$B$11)*(1-$B$14)-$B$19</f>
        <v>0</v>
      </c>
      <c r="G51" s="49" t="n">
        <f aca="false">G$46*$A51*(1-$B$7)*(1-$B$13-$B$14)+($B$9+$B$10+$B$11)*(1-$B$14)-$B$19</f>
        <v>0</v>
      </c>
      <c r="H51" s="49" t="n">
        <f aca="false">H$46*$A51*(1-$B$7)*(1-$B$13-$B$14)+($B$9+$B$10+$B$11)*(1-$B$14)-$B$19</f>
        <v>0</v>
      </c>
    </row>
    <row r="52" customFormat="false" ht="15" hidden="false" customHeight="false" outlineLevel="0" collapsed="false">
      <c r="A52" s="54" t="n">
        <f aca="false">$B$43+5*$B$44</f>
        <v>0</v>
      </c>
      <c r="B52" s="49" t="n">
        <f aca="false">B$46*$A52*(1-$B$7)*(1-$B$13-$B$14)+($B$9+$B$10+$B$11)*(1-$B$14)-$B$19</f>
        <v>0</v>
      </c>
      <c r="C52" s="49" t="n">
        <f aca="false">C$46*$A52*(1-$B$7)*(1-$B$13-$B$14)+($B$9+$B$10+$B$11)*(1-$B$14)-$B$19</f>
        <v>0</v>
      </c>
      <c r="D52" s="49" t="n">
        <f aca="false">D$46*$A52*(1-$B$7)*(1-$B$13-$B$14)+($B$9+$B$10+$B$11)*(1-$B$14)-$B$19</f>
        <v>0</v>
      </c>
      <c r="E52" s="49" t="n">
        <f aca="false">E$46*$A52*(1-$B$7)*(1-$B$13-$B$14)+($B$9+$B$10+$B$11)*(1-$B$14)-$B$19</f>
        <v>0</v>
      </c>
      <c r="F52" s="49" t="n">
        <f aca="false">F$46*$A52*(1-$B$7)*(1-$B$13-$B$14)+($B$9+$B$10+$B$11)*(1-$B$14)-$B$19</f>
        <v>0</v>
      </c>
      <c r="G52" s="49" t="n">
        <f aca="false">G$46*$A52*(1-$B$7)*(1-$B$13-$B$14)+($B$9+$B$10+$B$11)*(1-$B$14)-$B$19</f>
        <v>0</v>
      </c>
      <c r="H52" s="49" t="n">
        <f aca="false">H$46*$A52*(1-$B$7)*(1-$B$13-$B$14)+($B$9+$B$10+$B$11)*(1-$B$14)-$B$19</f>
        <v>0</v>
      </c>
    </row>
    <row r="53" customFormat="false" ht="15" hidden="false" customHeight="false" outlineLevel="0" collapsed="false">
      <c r="A53" s="54" t="n">
        <f aca="false">$B$43+6*$B$44</f>
        <v>0</v>
      </c>
      <c r="B53" s="49" t="n">
        <f aca="false">B$46*$A53*(1-$B$7)*(1-$B$13-$B$14)+($B$9+$B$10+$B$11)*(1-$B$14)-$B$19</f>
        <v>0</v>
      </c>
      <c r="C53" s="49" t="n">
        <f aca="false">C$46*$A53*(1-$B$7)*(1-$B$13-$B$14)+($B$9+$B$10+$B$11)*(1-$B$14)-$B$19</f>
        <v>0</v>
      </c>
      <c r="D53" s="49" t="n">
        <f aca="false">D$46*$A53*(1-$B$7)*(1-$B$13-$B$14)+($B$9+$B$10+$B$11)*(1-$B$14)-$B$19</f>
        <v>0</v>
      </c>
      <c r="E53" s="49" t="n">
        <f aca="false">E$46*$A53*(1-$B$7)*(1-$B$13-$B$14)+($B$9+$B$10+$B$11)*(1-$B$14)-$B$19</f>
        <v>0</v>
      </c>
      <c r="F53" s="49" t="n">
        <f aca="false">F$46*$A53*(1-$B$7)*(1-$B$13-$B$14)+($B$9+$B$10+$B$11)*(1-$B$14)-$B$19</f>
        <v>0</v>
      </c>
      <c r="G53" s="49" t="n">
        <f aca="false">G$46*$A53*(1-$B$7)*(1-$B$13-$B$14)+($B$9+$B$10+$B$11)*(1-$B$14)-$B$19</f>
        <v>0</v>
      </c>
      <c r="H53" s="49" t="n">
        <f aca="false">H$46*$A53*(1-$B$7)*(1-$B$13-$B$14)+($B$9+$B$10+$B$11)*(1-$B$14)-$B$19</f>
        <v>0</v>
      </c>
    </row>
    <row r="54" customFormat="false" ht="15" hidden="false" customHeight="false" outlineLevel="0" collapsed="false">
      <c r="A54" s="54" t="n">
        <f aca="false">$B$43+7*$B$44</f>
        <v>0</v>
      </c>
      <c r="B54" s="49" t="n">
        <f aca="false">B$46*$A54*(1-$B$7)*(1-$B$13-$B$14)+($B$9+$B$10+$B$11)*(1-$B$14)-$B$19</f>
        <v>0</v>
      </c>
      <c r="C54" s="49" t="n">
        <f aca="false">C$46*$A54*(1-$B$7)*(1-$B$13-$B$14)+($B$9+$B$10+$B$11)*(1-$B$14)-$B$19</f>
        <v>0</v>
      </c>
      <c r="D54" s="49" t="n">
        <f aca="false">D$46*$A54*(1-$B$7)*(1-$B$13-$B$14)+($B$9+$B$10+$B$11)*(1-$B$14)-$B$19</f>
        <v>0</v>
      </c>
      <c r="E54" s="49" t="n">
        <f aca="false">E$46*$A54*(1-$B$7)*(1-$B$13-$B$14)+($B$9+$B$10+$B$11)*(1-$B$14)-$B$19</f>
        <v>0</v>
      </c>
      <c r="F54" s="49" t="n">
        <f aca="false">F$46*$A54*(1-$B$7)*(1-$B$13-$B$14)+($B$9+$B$10+$B$11)*(1-$B$14)-$B$19</f>
        <v>0</v>
      </c>
      <c r="G54" s="49" t="n">
        <f aca="false">G$46*$A54*(1-$B$7)*(1-$B$13-$B$14)+($B$9+$B$10+$B$11)*(1-$B$14)-$B$19</f>
        <v>0</v>
      </c>
      <c r="H54" s="49" t="n">
        <f aca="false">H$46*$A54*(1-$B$7)*(1-$B$13-$B$14)+($B$9+$B$10+$B$11)*(1-$B$14)-$B$19</f>
        <v>0</v>
      </c>
    </row>
    <row r="56" customFormat="false" ht="15" hidden="false" customHeight="true" outlineLevel="0" collapsed="false">
      <c r="A56" s="29" t="s">
        <v>328</v>
      </c>
      <c r="B56" s="29"/>
      <c r="C56" s="29"/>
      <c r="D56" s="29"/>
      <c r="E56" s="29"/>
      <c r="F56" s="29"/>
      <c r="G56" s="29"/>
      <c r="H56" s="29"/>
    </row>
  </sheetData>
  <mergeCells count="3">
    <mergeCell ref="A1:H1"/>
    <mergeCell ref="A2:H2"/>
    <mergeCell ref="A56:H56"/>
  </mergeCells>
  <conditionalFormatting sqref="B20">
    <cfRule type="expression" priority="2" aboveAverage="0" equalAverage="0" bottom="0" percent="0" rank="0" text="" dxfId="4">
      <formula>B20&lt;0</formula>
    </cfRule>
  </conditionalFormatting>
  <conditionalFormatting sqref="B47:H54">
    <cfRule type="expression" priority="3" aboveAverage="0" equalAverage="0" bottom="0" percent="0" rank="0" text="" dxfId="5">
      <formula>B47&lt;0</formula>
    </cfRule>
    <cfRule type="expression" priority="4" aboveAverage="0" equalAverage="0" bottom="0" percent="0" rank="0" text="" dxfId="6">
      <formula>B47&gt;0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&amp;CGOAT LEAGUE · Planificación · &amp;A · Página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8" min="7" style="0" width="16"/>
    <col collapsed="false" customWidth="true" hidden="false" outlineLevel="0" max="9" min="9" style="0" width="22"/>
    <col collapsed="false" customWidth="true" hidden="false" outlineLevel="0" max="10" min="10" style="0" width="30"/>
  </cols>
  <sheetData>
    <row r="1" customFormat="false" ht="30" hidden="false" customHeight="true" outlineLevel="0" collapsed="false">
      <c r="A1" s="1" t="s">
        <v>329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7.75" hidden="false" customHeight="true" outlineLevel="0" collapsed="false">
      <c r="A2" s="2" t="s">
        <v>330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6" t="s">
        <v>331</v>
      </c>
      <c r="B3" s="36" t="s">
        <v>332</v>
      </c>
      <c r="C3" s="36" t="s">
        <v>333</v>
      </c>
      <c r="D3" s="36" t="s">
        <v>334</v>
      </c>
      <c r="E3" s="36" t="s">
        <v>335</v>
      </c>
      <c r="F3" s="36" t="s">
        <v>336</v>
      </c>
      <c r="G3" s="36" t="s">
        <v>337</v>
      </c>
      <c r="H3" s="36" t="s">
        <v>338</v>
      </c>
      <c r="I3" s="36" t="s">
        <v>339</v>
      </c>
      <c r="J3" s="36" t="s">
        <v>340</v>
      </c>
    </row>
    <row r="4" customFormat="false" ht="24" hidden="false" customHeight="true" outlineLevel="0" collapsed="false">
      <c r="A4" s="21" t="s">
        <v>341</v>
      </c>
      <c r="B4" s="6"/>
      <c r="C4" s="43"/>
      <c r="D4" s="6"/>
      <c r="E4" s="43"/>
      <c r="F4" s="6"/>
      <c r="G4" s="43"/>
      <c r="H4" s="6"/>
      <c r="I4" s="6"/>
      <c r="J4" s="6"/>
    </row>
    <row r="5" customFormat="false" ht="24" hidden="false" customHeight="true" outlineLevel="0" collapsed="false">
      <c r="A5" s="21" t="s">
        <v>342</v>
      </c>
      <c r="B5" s="6"/>
      <c r="C5" s="43"/>
      <c r="D5" s="6"/>
      <c r="E5" s="43"/>
      <c r="F5" s="6"/>
      <c r="G5" s="43"/>
      <c r="H5" s="6"/>
      <c r="I5" s="6"/>
      <c r="J5" s="6"/>
    </row>
    <row r="6" customFormat="false" ht="24" hidden="false" customHeight="true" outlineLevel="0" collapsed="false">
      <c r="A6" s="21" t="s">
        <v>343</v>
      </c>
      <c r="B6" s="6"/>
      <c r="C6" s="43"/>
      <c r="D6" s="6"/>
      <c r="E6" s="43"/>
      <c r="F6" s="6"/>
      <c r="G6" s="43"/>
      <c r="H6" s="6"/>
      <c r="I6" s="6"/>
      <c r="J6" s="6"/>
    </row>
    <row r="7" customFormat="false" ht="24" hidden="false" customHeight="true" outlineLevel="0" collapsed="false">
      <c r="A7" s="21" t="s">
        <v>344</v>
      </c>
      <c r="B7" s="6"/>
      <c r="C7" s="43"/>
      <c r="D7" s="6"/>
      <c r="E7" s="43"/>
      <c r="F7" s="6"/>
      <c r="G7" s="43"/>
      <c r="H7" s="6"/>
      <c r="I7" s="6"/>
      <c r="J7" s="6"/>
    </row>
    <row r="8" customFormat="false" ht="24" hidden="false" customHeight="true" outlineLevel="0" collapsed="false">
      <c r="A8" s="21" t="s">
        <v>345</v>
      </c>
      <c r="B8" s="6"/>
      <c r="C8" s="43"/>
      <c r="D8" s="6"/>
      <c r="E8" s="43"/>
      <c r="F8" s="6"/>
      <c r="G8" s="43"/>
      <c r="H8" s="6"/>
      <c r="I8" s="6"/>
      <c r="J8" s="6"/>
    </row>
    <row r="9" customFormat="false" ht="24" hidden="false" customHeight="true" outlineLevel="0" collapsed="false">
      <c r="A9" s="21" t="s">
        <v>346</v>
      </c>
      <c r="B9" s="6"/>
      <c r="C9" s="43"/>
      <c r="D9" s="6"/>
      <c r="E9" s="43"/>
      <c r="F9" s="6"/>
      <c r="G9" s="43"/>
      <c r="H9" s="6"/>
      <c r="I9" s="6"/>
      <c r="J9" s="6"/>
    </row>
    <row r="10" customFormat="false" ht="24" hidden="false" customHeight="true" outlineLevel="0" collapsed="false">
      <c r="A10" s="21" t="s">
        <v>347</v>
      </c>
      <c r="B10" s="6"/>
      <c r="C10" s="43"/>
      <c r="D10" s="6"/>
      <c r="E10" s="43"/>
      <c r="F10" s="6"/>
      <c r="G10" s="43"/>
      <c r="H10" s="6"/>
      <c r="I10" s="6"/>
      <c r="J10" s="6"/>
    </row>
    <row r="11" customFormat="false" ht="24" hidden="false" customHeight="true" outlineLevel="0" collapsed="false">
      <c r="A11" s="21" t="s">
        <v>348</v>
      </c>
      <c r="B11" s="6"/>
      <c r="C11" s="43"/>
      <c r="D11" s="6"/>
      <c r="E11" s="43"/>
      <c r="F11" s="6"/>
      <c r="G11" s="43"/>
      <c r="H11" s="6"/>
      <c r="I11" s="6"/>
      <c r="J11" s="6"/>
    </row>
    <row r="12" customFormat="false" ht="24" hidden="false" customHeight="true" outlineLevel="0" collapsed="false">
      <c r="A12" s="21" t="s">
        <v>349</v>
      </c>
      <c r="B12" s="6"/>
      <c r="C12" s="43"/>
      <c r="D12" s="6"/>
      <c r="E12" s="43"/>
      <c r="F12" s="6"/>
      <c r="G12" s="43"/>
      <c r="H12" s="6"/>
      <c r="I12" s="6"/>
      <c r="J12" s="6"/>
    </row>
    <row r="13" customFormat="false" ht="24" hidden="false" customHeight="true" outlineLevel="0" collapsed="false">
      <c r="A13" s="21" t="s">
        <v>350</v>
      </c>
      <c r="B13" s="6"/>
      <c r="C13" s="43"/>
      <c r="D13" s="6"/>
      <c r="E13" s="43"/>
      <c r="F13" s="6"/>
      <c r="G13" s="43"/>
      <c r="H13" s="6"/>
      <c r="I13" s="6"/>
      <c r="J13" s="6"/>
    </row>
    <row r="14" customFormat="false" ht="24" hidden="false" customHeight="true" outlineLevel="0" collapsed="false">
      <c r="A14" s="21" t="s">
        <v>351</v>
      </c>
      <c r="B14" s="6"/>
      <c r="C14" s="43"/>
      <c r="D14" s="6"/>
      <c r="E14" s="43"/>
      <c r="F14" s="6"/>
      <c r="G14" s="43"/>
      <c r="H14" s="6"/>
      <c r="I14" s="6"/>
      <c r="J14" s="6"/>
    </row>
    <row r="15" customFormat="false" ht="24" hidden="false" customHeight="true" outlineLevel="0" collapsed="false">
      <c r="A15" s="21" t="s">
        <v>352</v>
      </c>
      <c r="B15" s="6"/>
      <c r="C15" s="43"/>
      <c r="D15" s="6"/>
      <c r="E15" s="43"/>
      <c r="F15" s="6"/>
      <c r="G15" s="43"/>
      <c r="H15" s="6"/>
      <c r="I15" s="6"/>
      <c r="J15" s="6"/>
    </row>
    <row r="16" customFormat="false" ht="24" hidden="false" customHeight="true" outlineLevel="0" collapsed="false">
      <c r="A16" s="21" t="s">
        <v>353</v>
      </c>
      <c r="B16" s="6"/>
      <c r="C16" s="43"/>
      <c r="D16" s="6"/>
      <c r="E16" s="43"/>
      <c r="F16" s="6"/>
      <c r="G16" s="43"/>
      <c r="H16" s="6"/>
      <c r="I16" s="6"/>
      <c r="J16" s="6"/>
    </row>
    <row r="17" customFormat="false" ht="24" hidden="false" customHeight="true" outlineLevel="0" collapsed="false">
      <c r="A17" s="21" t="s">
        <v>354</v>
      </c>
      <c r="B17" s="6"/>
      <c r="C17" s="43"/>
      <c r="D17" s="6"/>
      <c r="E17" s="43"/>
      <c r="F17" s="6"/>
      <c r="G17" s="43"/>
      <c r="H17" s="6"/>
      <c r="I17" s="6"/>
      <c r="J17" s="6"/>
    </row>
    <row r="18" customFormat="false" ht="24" hidden="false" customHeight="true" outlineLevel="0" collapsed="false">
      <c r="A18" s="21" t="s">
        <v>355</v>
      </c>
      <c r="B18" s="6"/>
      <c r="C18" s="43"/>
      <c r="D18" s="6"/>
      <c r="E18" s="43"/>
      <c r="F18" s="6"/>
      <c r="G18" s="43"/>
      <c r="H18" s="6"/>
      <c r="I18" s="6"/>
      <c r="J18" s="6"/>
    </row>
    <row r="19" customFormat="false" ht="24" hidden="false" customHeight="true" outlineLevel="0" collapsed="false">
      <c r="A19" s="21" t="s">
        <v>237</v>
      </c>
      <c r="B19" s="6"/>
      <c r="C19" s="43"/>
      <c r="D19" s="6"/>
      <c r="E19" s="43"/>
      <c r="F19" s="6"/>
      <c r="G19" s="43"/>
      <c r="H19" s="6"/>
      <c r="I19" s="6"/>
      <c r="J19" s="6"/>
    </row>
    <row r="20" customFormat="false" ht="24" hidden="false" customHeight="true" outlineLevel="0" collapsed="false">
      <c r="A20" s="21" t="s">
        <v>356</v>
      </c>
      <c r="B20" s="6"/>
      <c r="C20" s="43"/>
      <c r="D20" s="6"/>
      <c r="E20" s="43"/>
      <c r="F20" s="6"/>
      <c r="G20" s="43"/>
      <c r="H20" s="6"/>
      <c r="I20" s="6"/>
      <c r="J20" s="6"/>
    </row>
    <row r="21" customFormat="false" ht="24" hidden="false" customHeight="true" outlineLevel="0" collapsed="false">
      <c r="A21" s="21" t="s">
        <v>357</v>
      </c>
      <c r="B21" s="6"/>
      <c r="C21" s="43"/>
      <c r="D21" s="6"/>
      <c r="E21" s="43"/>
      <c r="F21" s="6"/>
      <c r="G21" s="43"/>
      <c r="H21" s="6"/>
      <c r="I21" s="6"/>
      <c r="J21" s="6"/>
    </row>
    <row r="22" customFormat="false" ht="24" hidden="false" customHeight="true" outlineLevel="0" collapsed="false">
      <c r="A22" s="21" t="s">
        <v>358</v>
      </c>
      <c r="B22" s="6"/>
      <c r="C22" s="43"/>
      <c r="D22" s="6"/>
      <c r="E22" s="43"/>
      <c r="F22" s="6"/>
      <c r="G22" s="43"/>
      <c r="H22" s="6"/>
      <c r="I22" s="6"/>
      <c r="J22" s="6"/>
    </row>
    <row r="23" customFormat="false" ht="24" hidden="false" customHeight="true" outlineLevel="0" collapsed="false">
      <c r="A23" s="21" t="s">
        <v>359</v>
      </c>
      <c r="B23" s="6"/>
      <c r="C23" s="43"/>
      <c r="D23" s="6"/>
      <c r="E23" s="43"/>
      <c r="F23" s="6"/>
      <c r="G23" s="43"/>
      <c r="H23" s="6"/>
      <c r="I23" s="6"/>
      <c r="J23" s="6"/>
    </row>
    <row r="24" customFormat="false" ht="24" hidden="false" customHeight="true" outlineLevel="0" collapsed="false">
      <c r="A24" s="21" t="s">
        <v>360</v>
      </c>
      <c r="B24" s="6"/>
      <c r="C24" s="43"/>
      <c r="D24" s="6"/>
      <c r="E24" s="43"/>
      <c r="F24" s="6"/>
      <c r="G24" s="43"/>
      <c r="H24" s="6"/>
      <c r="I24" s="6"/>
      <c r="J24" s="6"/>
    </row>
    <row r="25" customFormat="false" ht="24" hidden="false" customHeight="true" outlineLevel="0" collapsed="false">
      <c r="A25" s="21" t="s">
        <v>361</v>
      </c>
      <c r="B25" s="6"/>
      <c r="C25" s="43"/>
      <c r="D25" s="6"/>
      <c r="E25" s="43"/>
      <c r="F25" s="6"/>
      <c r="G25" s="43"/>
      <c r="H25" s="6"/>
      <c r="I25" s="6"/>
      <c r="J25" s="6"/>
    </row>
    <row r="26" customFormat="false" ht="24" hidden="false" customHeight="true" outlineLevel="0" collapsed="false">
      <c r="A26" s="21" t="s">
        <v>362</v>
      </c>
      <c r="B26" s="6"/>
      <c r="C26" s="43"/>
      <c r="D26" s="6"/>
      <c r="E26" s="43"/>
      <c r="F26" s="6"/>
      <c r="G26" s="43"/>
      <c r="H26" s="6"/>
      <c r="I26" s="6"/>
      <c r="J26" s="6"/>
    </row>
    <row r="27" customFormat="false" ht="24" hidden="false" customHeight="true" outlineLevel="0" collapsed="false">
      <c r="A27" s="21" t="s">
        <v>363</v>
      </c>
      <c r="B27" s="6"/>
      <c r="C27" s="43"/>
      <c r="D27" s="6"/>
      <c r="E27" s="43"/>
      <c r="F27" s="6"/>
      <c r="G27" s="43"/>
      <c r="H27" s="6"/>
      <c r="I27" s="6"/>
      <c r="J27" s="6"/>
    </row>
    <row r="28" customFormat="false" ht="24" hidden="false" customHeight="true" outlineLevel="0" collapsed="false">
      <c r="A28" s="21" t="s">
        <v>364</v>
      </c>
      <c r="B28" s="6"/>
      <c r="C28" s="43"/>
      <c r="D28" s="6"/>
      <c r="E28" s="43"/>
      <c r="F28" s="6"/>
      <c r="G28" s="43"/>
      <c r="H28" s="6"/>
      <c r="I28" s="6"/>
      <c r="J28" s="6"/>
    </row>
    <row r="29" customFormat="false" ht="24" hidden="false" customHeight="true" outlineLevel="0" collapsed="false">
      <c r="A29" s="21" t="s">
        <v>365</v>
      </c>
      <c r="B29" s="6"/>
      <c r="C29" s="43"/>
      <c r="D29" s="6"/>
      <c r="E29" s="43"/>
      <c r="F29" s="6"/>
      <c r="G29" s="43"/>
      <c r="H29" s="6"/>
      <c r="I29" s="6"/>
      <c r="J29" s="6"/>
    </row>
    <row r="30" customFormat="false" ht="24" hidden="false" customHeight="true" outlineLevel="0" collapsed="false">
      <c r="A30" s="21" t="s">
        <v>366</v>
      </c>
      <c r="B30" s="6"/>
      <c r="C30" s="43"/>
      <c r="D30" s="6"/>
      <c r="E30" s="43"/>
      <c r="F30" s="6"/>
      <c r="G30" s="43"/>
      <c r="H30" s="6"/>
      <c r="I30" s="6"/>
      <c r="J30" s="6"/>
    </row>
    <row r="31" customFormat="false" ht="24" hidden="false" customHeight="true" outlineLevel="0" collapsed="false">
      <c r="A31" s="21" t="s">
        <v>367</v>
      </c>
      <c r="B31" s="6"/>
      <c r="C31" s="43"/>
      <c r="D31" s="6"/>
      <c r="E31" s="43"/>
      <c r="F31" s="6"/>
      <c r="G31" s="43"/>
      <c r="H31" s="6"/>
      <c r="I31" s="6"/>
      <c r="J31" s="6"/>
    </row>
  </sheetData>
  <mergeCells count="2">
    <mergeCell ref="A1:J1"/>
    <mergeCell ref="A2:J2"/>
  </mergeCells>
  <printOptions headings="false" gridLines="false" gridLinesSet="true" horizontalCentered="false" verticalCentered="false"/>
  <pageMargins left="0.4" right="0.4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&amp;CGOAT LEAGUE · Planificación · &amp;A · Página &amp;P de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6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36"/>
  </cols>
  <sheetData>
    <row r="1" customFormat="false" ht="30" hidden="false" customHeight="true" outlineLevel="0" collapsed="false">
      <c r="A1" s="1" t="s">
        <v>368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369</v>
      </c>
      <c r="B2" s="2"/>
      <c r="C2" s="2"/>
      <c r="D2" s="2"/>
      <c r="E2" s="2"/>
    </row>
    <row r="3" customFormat="false" ht="15" hidden="false" customHeight="false" outlineLevel="0" collapsed="false">
      <c r="A3" s="36" t="s">
        <v>370</v>
      </c>
      <c r="B3" s="36" t="s">
        <v>371</v>
      </c>
      <c r="C3" s="36" t="s">
        <v>372</v>
      </c>
      <c r="D3" s="36" t="s">
        <v>373</v>
      </c>
      <c r="E3" s="36" t="s">
        <v>340</v>
      </c>
    </row>
    <row r="4" customFormat="false" ht="15" hidden="false" customHeight="false" outlineLevel="0" collapsed="false">
      <c r="A4" s="3" t="s">
        <v>374</v>
      </c>
      <c r="B4" s="4"/>
      <c r="C4" s="4"/>
      <c r="D4" s="4"/>
      <c r="E4" s="4"/>
    </row>
    <row r="5" customFormat="false" ht="25.5" hidden="false" customHeight="true" outlineLevel="0" collapsed="false">
      <c r="A5" s="25" t="s">
        <v>370</v>
      </c>
      <c r="B5" s="40" t="s">
        <v>375</v>
      </c>
      <c r="C5" s="6"/>
      <c r="D5" s="18"/>
      <c r="E5" s="6"/>
    </row>
    <row r="6" customFormat="false" ht="25.5" hidden="false" customHeight="true" outlineLevel="0" collapsed="false">
      <c r="A6" s="25" t="s">
        <v>370</v>
      </c>
      <c r="B6" s="40" t="s">
        <v>376</v>
      </c>
      <c r="C6" s="6"/>
      <c r="D6" s="18"/>
      <c r="E6" s="6"/>
    </row>
    <row r="7" customFormat="false" ht="25.5" hidden="false" customHeight="true" outlineLevel="0" collapsed="false">
      <c r="A7" s="25" t="s">
        <v>370</v>
      </c>
      <c r="B7" s="40" t="s">
        <v>377</v>
      </c>
      <c r="C7" s="6"/>
      <c r="D7" s="18"/>
      <c r="E7" s="6"/>
    </row>
    <row r="8" customFormat="false" ht="25.5" hidden="false" customHeight="true" outlineLevel="0" collapsed="false">
      <c r="A8" s="25" t="s">
        <v>370</v>
      </c>
      <c r="B8" s="40" t="s">
        <v>378</v>
      </c>
      <c r="C8" s="6"/>
      <c r="D8" s="18"/>
      <c r="E8" s="6"/>
    </row>
    <row r="9" customFormat="false" ht="25.5" hidden="false" customHeight="true" outlineLevel="0" collapsed="false">
      <c r="A9" s="25" t="s">
        <v>370</v>
      </c>
      <c r="B9" s="40" t="s">
        <v>379</v>
      </c>
      <c r="C9" s="6"/>
      <c r="D9" s="18"/>
      <c r="E9" s="6"/>
    </row>
    <row r="10" customFormat="false" ht="15" hidden="false" customHeight="false" outlineLevel="0" collapsed="false">
      <c r="A10" s="3" t="s">
        <v>380</v>
      </c>
      <c r="B10" s="4"/>
      <c r="C10" s="4"/>
      <c r="D10" s="4"/>
      <c r="E10" s="4"/>
    </row>
    <row r="11" customFormat="false" ht="25.5" hidden="false" customHeight="true" outlineLevel="0" collapsed="false">
      <c r="A11" s="25" t="s">
        <v>370</v>
      </c>
      <c r="B11" s="40" t="s">
        <v>381</v>
      </c>
      <c r="C11" s="6"/>
      <c r="D11" s="18"/>
      <c r="E11" s="6"/>
    </row>
    <row r="12" customFormat="false" ht="25.5" hidden="false" customHeight="true" outlineLevel="0" collapsed="false">
      <c r="A12" s="25" t="s">
        <v>370</v>
      </c>
      <c r="B12" s="40" t="s">
        <v>382</v>
      </c>
      <c r="C12" s="6"/>
      <c r="D12" s="18"/>
      <c r="E12" s="6"/>
    </row>
    <row r="13" customFormat="false" ht="25.5" hidden="false" customHeight="true" outlineLevel="0" collapsed="false">
      <c r="A13" s="25" t="s">
        <v>370</v>
      </c>
      <c r="B13" s="40" t="s">
        <v>383</v>
      </c>
      <c r="C13" s="6"/>
      <c r="D13" s="18"/>
      <c r="E13" s="6"/>
    </row>
    <row r="14" customFormat="false" ht="25.5" hidden="false" customHeight="true" outlineLevel="0" collapsed="false">
      <c r="A14" s="25" t="s">
        <v>370</v>
      </c>
      <c r="B14" s="40" t="s">
        <v>384</v>
      </c>
      <c r="C14" s="6"/>
      <c r="D14" s="18"/>
      <c r="E14" s="6"/>
    </row>
    <row r="15" customFormat="false" ht="25.5" hidden="false" customHeight="true" outlineLevel="0" collapsed="false">
      <c r="A15" s="25" t="s">
        <v>370</v>
      </c>
      <c r="B15" s="40" t="s">
        <v>385</v>
      </c>
      <c r="C15" s="6"/>
      <c r="D15" s="18"/>
      <c r="E15" s="6"/>
    </row>
    <row r="16" customFormat="false" ht="15" hidden="false" customHeight="false" outlineLevel="0" collapsed="false">
      <c r="A16" s="3" t="s">
        <v>386</v>
      </c>
      <c r="B16" s="4"/>
      <c r="C16" s="4"/>
      <c r="D16" s="4"/>
      <c r="E16" s="4"/>
    </row>
    <row r="17" customFormat="false" ht="25.5" hidden="false" customHeight="true" outlineLevel="0" collapsed="false">
      <c r="A17" s="25" t="s">
        <v>370</v>
      </c>
      <c r="B17" s="40" t="s">
        <v>387</v>
      </c>
      <c r="C17" s="6"/>
      <c r="D17" s="18"/>
      <c r="E17" s="6"/>
    </row>
    <row r="18" customFormat="false" ht="25.5" hidden="false" customHeight="true" outlineLevel="0" collapsed="false">
      <c r="A18" s="25" t="s">
        <v>370</v>
      </c>
      <c r="B18" s="40" t="s">
        <v>388</v>
      </c>
      <c r="C18" s="6"/>
      <c r="D18" s="18"/>
      <c r="E18" s="6"/>
    </row>
    <row r="19" customFormat="false" ht="25.5" hidden="false" customHeight="true" outlineLevel="0" collapsed="false">
      <c r="A19" s="25" t="s">
        <v>370</v>
      </c>
      <c r="B19" s="40" t="s">
        <v>389</v>
      </c>
      <c r="C19" s="6"/>
      <c r="D19" s="18"/>
      <c r="E19" s="6"/>
    </row>
    <row r="20" customFormat="false" ht="25.5" hidden="false" customHeight="true" outlineLevel="0" collapsed="false">
      <c r="A20" s="25" t="s">
        <v>370</v>
      </c>
      <c r="B20" s="40" t="s">
        <v>390</v>
      </c>
      <c r="C20" s="6"/>
      <c r="D20" s="18"/>
      <c r="E20" s="6"/>
    </row>
    <row r="21" customFormat="false" ht="25.5" hidden="false" customHeight="true" outlineLevel="0" collapsed="false">
      <c r="A21" s="25" t="s">
        <v>370</v>
      </c>
      <c r="B21" s="40" t="s">
        <v>391</v>
      </c>
      <c r="C21" s="6"/>
      <c r="D21" s="18"/>
      <c r="E21" s="6"/>
    </row>
    <row r="22" customFormat="false" ht="15" hidden="false" customHeight="false" outlineLevel="0" collapsed="false">
      <c r="A22" s="3" t="s">
        <v>392</v>
      </c>
      <c r="B22" s="4"/>
      <c r="C22" s="4"/>
      <c r="D22" s="4"/>
      <c r="E22" s="4"/>
    </row>
    <row r="23" customFormat="false" ht="25.5" hidden="false" customHeight="true" outlineLevel="0" collapsed="false">
      <c r="A23" s="25" t="s">
        <v>370</v>
      </c>
      <c r="B23" s="40" t="s">
        <v>393</v>
      </c>
      <c r="C23" s="6"/>
      <c r="D23" s="18"/>
      <c r="E23" s="6"/>
    </row>
    <row r="24" customFormat="false" ht="25.5" hidden="false" customHeight="true" outlineLevel="0" collapsed="false">
      <c r="A24" s="25" t="s">
        <v>370</v>
      </c>
      <c r="B24" s="40" t="s">
        <v>394</v>
      </c>
      <c r="C24" s="6"/>
      <c r="D24" s="18"/>
      <c r="E24" s="6"/>
    </row>
    <row r="25" customFormat="false" ht="25.5" hidden="false" customHeight="true" outlineLevel="0" collapsed="false">
      <c r="A25" s="25" t="s">
        <v>370</v>
      </c>
      <c r="B25" s="40" t="s">
        <v>395</v>
      </c>
      <c r="C25" s="6"/>
      <c r="D25" s="18"/>
      <c r="E25" s="6"/>
    </row>
    <row r="26" customFormat="false" ht="25.5" hidden="false" customHeight="true" outlineLevel="0" collapsed="false">
      <c r="A26" s="25" t="s">
        <v>370</v>
      </c>
      <c r="B26" s="40" t="s">
        <v>396</v>
      </c>
      <c r="C26" s="6"/>
      <c r="D26" s="18"/>
      <c r="E26" s="6"/>
    </row>
    <row r="27" customFormat="false" ht="25.5" hidden="false" customHeight="true" outlineLevel="0" collapsed="false">
      <c r="A27" s="25" t="s">
        <v>370</v>
      </c>
      <c r="B27" s="40" t="s">
        <v>397</v>
      </c>
      <c r="C27" s="6"/>
      <c r="D27" s="18"/>
      <c r="E27" s="6"/>
    </row>
    <row r="28" customFormat="false" ht="15" hidden="false" customHeight="false" outlineLevel="0" collapsed="false">
      <c r="A28" s="3" t="s">
        <v>398</v>
      </c>
      <c r="B28" s="4"/>
      <c r="C28" s="4"/>
      <c r="D28" s="4"/>
      <c r="E28" s="4"/>
    </row>
    <row r="29" customFormat="false" ht="25.5" hidden="false" customHeight="true" outlineLevel="0" collapsed="false">
      <c r="A29" s="25" t="s">
        <v>370</v>
      </c>
      <c r="B29" s="40" t="s">
        <v>399</v>
      </c>
      <c r="C29" s="6"/>
      <c r="D29" s="18"/>
      <c r="E29" s="6"/>
    </row>
    <row r="30" customFormat="false" ht="25.5" hidden="false" customHeight="true" outlineLevel="0" collapsed="false">
      <c r="A30" s="25" t="s">
        <v>370</v>
      </c>
      <c r="B30" s="40" t="s">
        <v>400</v>
      </c>
      <c r="C30" s="6"/>
      <c r="D30" s="18"/>
      <c r="E30" s="6"/>
    </row>
    <row r="31" customFormat="false" ht="25.5" hidden="false" customHeight="true" outlineLevel="0" collapsed="false">
      <c r="A31" s="25" t="s">
        <v>370</v>
      </c>
      <c r="B31" s="40" t="s">
        <v>401</v>
      </c>
      <c r="C31" s="6"/>
      <c r="D31" s="18"/>
      <c r="E31" s="6"/>
    </row>
    <row r="32" customFormat="false" ht="15" hidden="false" customHeight="false" outlineLevel="0" collapsed="false">
      <c r="A32" s="3" t="s">
        <v>402</v>
      </c>
      <c r="B32" s="4"/>
      <c r="C32" s="4"/>
      <c r="D32" s="4"/>
      <c r="E32" s="4"/>
    </row>
    <row r="33" customFormat="false" ht="25.5" hidden="false" customHeight="true" outlineLevel="0" collapsed="false">
      <c r="A33" s="25" t="s">
        <v>370</v>
      </c>
      <c r="B33" s="40" t="s">
        <v>403</v>
      </c>
      <c r="C33" s="6"/>
      <c r="D33" s="18"/>
      <c r="E33" s="6"/>
    </row>
    <row r="34" customFormat="false" ht="25.5" hidden="false" customHeight="true" outlineLevel="0" collapsed="false">
      <c r="A34" s="25" t="s">
        <v>370</v>
      </c>
      <c r="B34" s="40" t="s">
        <v>404</v>
      </c>
      <c r="C34" s="6"/>
      <c r="D34" s="18"/>
      <c r="E34" s="6"/>
    </row>
    <row r="35" customFormat="false" ht="25.5" hidden="false" customHeight="true" outlineLevel="0" collapsed="false">
      <c r="A35" s="25" t="s">
        <v>370</v>
      </c>
      <c r="B35" s="40" t="s">
        <v>405</v>
      </c>
      <c r="C35" s="6"/>
      <c r="D35" s="18"/>
      <c r="E35" s="6"/>
    </row>
    <row r="36" customFormat="false" ht="25.5" hidden="false" customHeight="true" outlineLevel="0" collapsed="false">
      <c r="A36" s="25" t="s">
        <v>370</v>
      </c>
      <c r="B36" s="40" t="s">
        <v>406</v>
      </c>
      <c r="C36" s="6"/>
      <c r="D36" s="18"/>
      <c r="E36" s="6"/>
    </row>
    <row r="37" customFormat="false" ht="15" hidden="false" customHeight="false" outlineLevel="0" collapsed="false">
      <c r="A37" s="3" t="s">
        <v>407</v>
      </c>
      <c r="B37" s="4"/>
      <c r="C37" s="4"/>
      <c r="D37" s="4"/>
      <c r="E37" s="4"/>
    </row>
    <row r="38" customFormat="false" ht="25.5" hidden="false" customHeight="true" outlineLevel="0" collapsed="false">
      <c r="A38" s="25" t="s">
        <v>370</v>
      </c>
      <c r="B38" s="40" t="s">
        <v>408</v>
      </c>
      <c r="C38" s="6"/>
      <c r="D38" s="18"/>
      <c r="E38" s="6"/>
    </row>
    <row r="39" customFormat="false" ht="25.5" hidden="false" customHeight="true" outlineLevel="0" collapsed="false">
      <c r="A39" s="25" t="s">
        <v>370</v>
      </c>
      <c r="B39" s="40" t="s">
        <v>409</v>
      </c>
      <c r="C39" s="6"/>
      <c r="D39" s="18"/>
      <c r="E39" s="6"/>
    </row>
    <row r="40" customFormat="false" ht="25.5" hidden="false" customHeight="true" outlineLevel="0" collapsed="false">
      <c r="A40" s="25" t="s">
        <v>370</v>
      </c>
      <c r="B40" s="40" t="s">
        <v>410</v>
      </c>
      <c r="C40" s="6"/>
      <c r="D40" s="18"/>
      <c r="E40" s="6"/>
    </row>
    <row r="41" customFormat="false" ht="25.5" hidden="false" customHeight="true" outlineLevel="0" collapsed="false">
      <c r="A41" s="25" t="s">
        <v>370</v>
      </c>
      <c r="B41" s="40" t="s">
        <v>411</v>
      </c>
      <c r="C41" s="6"/>
      <c r="D41" s="18"/>
      <c r="E41" s="6"/>
    </row>
    <row r="42" customFormat="false" ht="15" hidden="false" customHeight="false" outlineLevel="0" collapsed="false">
      <c r="A42" s="3" t="s">
        <v>412</v>
      </c>
      <c r="B42" s="4"/>
      <c r="C42" s="4"/>
      <c r="D42" s="4"/>
      <c r="E42" s="4"/>
    </row>
    <row r="43" customFormat="false" ht="25.5" hidden="false" customHeight="true" outlineLevel="0" collapsed="false">
      <c r="A43" s="25" t="s">
        <v>370</v>
      </c>
      <c r="B43" s="40" t="s">
        <v>413</v>
      </c>
      <c r="C43" s="6"/>
      <c r="D43" s="18"/>
      <c r="E43" s="6"/>
    </row>
    <row r="44" customFormat="false" ht="25.5" hidden="false" customHeight="true" outlineLevel="0" collapsed="false">
      <c r="A44" s="25" t="s">
        <v>370</v>
      </c>
      <c r="B44" s="40" t="s">
        <v>414</v>
      </c>
      <c r="C44" s="6"/>
      <c r="D44" s="18"/>
      <c r="E44" s="6"/>
    </row>
    <row r="45" customFormat="false" ht="25.5" hidden="false" customHeight="true" outlineLevel="0" collapsed="false">
      <c r="A45" s="25" t="s">
        <v>370</v>
      </c>
      <c r="B45" s="40" t="s">
        <v>415</v>
      </c>
      <c r="C45" s="6"/>
      <c r="D45" s="18"/>
      <c r="E45" s="6"/>
    </row>
    <row r="46" customFormat="false" ht="25.5" hidden="false" customHeight="true" outlineLevel="0" collapsed="false">
      <c r="A46" s="25" t="s">
        <v>370</v>
      </c>
      <c r="B46" s="40" t="s">
        <v>416</v>
      </c>
      <c r="C46" s="6"/>
      <c r="D46" s="18"/>
      <c r="E46" s="6"/>
    </row>
    <row r="47" customFormat="false" ht="25.5" hidden="false" customHeight="true" outlineLevel="0" collapsed="false">
      <c r="A47" s="25" t="s">
        <v>370</v>
      </c>
      <c r="B47" s="40" t="s">
        <v>417</v>
      </c>
      <c r="C47" s="6"/>
      <c r="D47" s="18"/>
      <c r="E47" s="6"/>
    </row>
  </sheetData>
  <mergeCells count="2">
    <mergeCell ref="A1:E1"/>
    <mergeCell ref="A2:E2"/>
  </mergeCells>
  <printOptions headings="false" gridLines="false" gridLinesSet="true" horizontalCentered="false" verticalCentered="false"/>
  <pageMargins left="0.4" right="0.4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&amp;CGOAT LEAGUE · Planificación · &amp;A · 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2026-10-16T14:51:51Z</dcterms:created>
  <dc:creator>openpyxl</dc:creator>
  <dc:description/>
  <dc:language>en-US</dc:language>
  <cp:lastModifiedBy/>
  <dcterms:modified xsi:type="dcterms:W3CDTF">2026-10-16T14:51:51Z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